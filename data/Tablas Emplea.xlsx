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tel\Downloads\"/>
    </mc:Choice>
  </mc:AlternateContent>
  <xr:revisionPtr revIDLastSave="0" documentId="13_ncr:1_{D5CDBD05-BBC6-460F-B73D-6CDB43CB43BF}" xr6:coauthVersionLast="47" xr6:coauthVersionMax="47" xr10:uidLastSave="{00000000-0000-0000-0000-000000000000}"/>
  <bookViews>
    <workbookView xWindow="-108" yWindow="-108" windowWidth="23256" windowHeight="12456" firstSheet="9" activeTab="11" xr2:uid="{3F6F3D5D-A3B9-4B47-BAE0-BAD5F9E017C0}"/>
  </bookViews>
  <sheets>
    <sheet name="Centro" sheetId="3" r:id="rId1"/>
    <sheet name="Contrato" sheetId="4" r:id="rId2"/>
    <sheet name="Trabajador" sheetId="5" r:id="rId3"/>
    <sheet name="Tarea" sheetId="6" r:id="rId4"/>
    <sheet name="Trabajador_Tarea" sheetId="7" r:id="rId5"/>
    <sheet name="Disponibilidad" sheetId="8" r:id="rId6"/>
    <sheet name="Periodo Fijo Discontinuo" sheetId="15" r:id="rId7"/>
    <sheet name="Turno Vacaciones" sheetId="14" r:id="rId8"/>
    <sheet name="Pedido Histórico COMPARACION" sheetId="16" r:id="rId9"/>
    <sheet name="Pedido Histórico COMPLETO" sheetId="13" r:id="rId10"/>
    <sheet name="PRUEBA" sheetId="17" r:id="rId11"/>
    <sheet name="Pedido Histórico" sheetId="2" r:id="rId12"/>
    <sheet name="Promoción" sheetId="9" r:id="rId13"/>
    <sheet name="Calendario" sheetId="10" r:id="rId14"/>
    <sheet name="Predicción" sheetId="11" r:id="rId15"/>
    <sheet name="Planificación" sheetId="12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55" i="2" l="1"/>
  <c r="J1255" i="2"/>
  <c r="K1254" i="2"/>
  <c r="J1254" i="2"/>
  <c r="K1253" i="2"/>
  <c r="J1253" i="2"/>
  <c r="K1252" i="2"/>
  <c r="J1252" i="2"/>
  <c r="K1251" i="2"/>
  <c r="J1251" i="2"/>
  <c r="K1250" i="2"/>
  <c r="J1250" i="2"/>
  <c r="K1249" i="2"/>
  <c r="J1249" i="2"/>
  <c r="K1248" i="2"/>
  <c r="J1248" i="2"/>
  <c r="K1247" i="2"/>
  <c r="J1247" i="2"/>
  <c r="K1246" i="2"/>
  <c r="J1246" i="2"/>
  <c r="K1245" i="2"/>
  <c r="J1245" i="2"/>
  <c r="K1244" i="2"/>
  <c r="J1244" i="2"/>
  <c r="K1243" i="2"/>
  <c r="J1243" i="2"/>
  <c r="K1242" i="2"/>
  <c r="J1242" i="2"/>
  <c r="K1241" i="2"/>
  <c r="J1241" i="2"/>
  <c r="K1240" i="2"/>
  <c r="J1240" i="2"/>
  <c r="K1239" i="2"/>
  <c r="J1239" i="2"/>
  <c r="K1238" i="2"/>
  <c r="J1238" i="2"/>
  <c r="K1237" i="2"/>
  <c r="J1237" i="2"/>
  <c r="K1236" i="2"/>
  <c r="J1236" i="2"/>
  <c r="K1235" i="2"/>
  <c r="J1235" i="2"/>
  <c r="K1234" i="2"/>
  <c r="J1234" i="2"/>
  <c r="K1233" i="2"/>
  <c r="J1233" i="2"/>
  <c r="K1232" i="2"/>
  <c r="J1232" i="2"/>
  <c r="K1231" i="2"/>
  <c r="J1231" i="2"/>
  <c r="K1230" i="2"/>
  <c r="J1230" i="2"/>
  <c r="K1229" i="2"/>
  <c r="J1229" i="2"/>
  <c r="K1228" i="2"/>
  <c r="J1228" i="2"/>
  <c r="K1227" i="2"/>
  <c r="J1227" i="2"/>
  <c r="K1226" i="2"/>
  <c r="J1226" i="2"/>
  <c r="K1225" i="2"/>
  <c r="J1225" i="2"/>
  <c r="K1224" i="2"/>
  <c r="J1224" i="2"/>
  <c r="K1223" i="2"/>
  <c r="J1223" i="2"/>
  <c r="K1222" i="2"/>
  <c r="J1222" i="2"/>
  <c r="K1221" i="2"/>
  <c r="J1221" i="2"/>
  <c r="K1220" i="2"/>
  <c r="J1220" i="2"/>
  <c r="K1219" i="2"/>
  <c r="J1219" i="2"/>
  <c r="K1218" i="2"/>
  <c r="J1218" i="2"/>
  <c r="K1217" i="2"/>
  <c r="J1217" i="2"/>
  <c r="K1216" i="2"/>
  <c r="J1216" i="2"/>
  <c r="K1215" i="2"/>
  <c r="J1215" i="2"/>
  <c r="K1214" i="2"/>
  <c r="J1214" i="2"/>
  <c r="K1213" i="2"/>
  <c r="J1213" i="2"/>
  <c r="K1212" i="2"/>
  <c r="J1212" i="2"/>
  <c r="K1211" i="2"/>
  <c r="J1211" i="2"/>
  <c r="K1210" i="2"/>
  <c r="J1210" i="2"/>
  <c r="K1209" i="2"/>
  <c r="J1209" i="2"/>
  <c r="K1208" i="2"/>
  <c r="J1208" i="2"/>
  <c r="K1207" i="2"/>
  <c r="J1207" i="2"/>
  <c r="K1206" i="2"/>
  <c r="J1206" i="2"/>
  <c r="K1205" i="2"/>
  <c r="J1205" i="2"/>
  <c r="K1204" i="2"/>
  <c r="J1204" i="2"/>
  <c r="K1203" i="2"/>
  <c r="J1203" i="2"/>
  <c r="K1202" i="2"/>
  <c r="J1202" i="2"/>
  <c r="K1201" i="2"/>
  <c r="J1201" i="2"/>
  <c r="K1200" i="2"/>
  <c r="J1200" i="2"/>
  <c r="K1199" i="2"/>
  <c r="J1199" i="2"/>
  <c r="K1198" i="2"/>
  <c r="J1198" i="2"/>
  <c r="K1197" i="2"/>
  <c r="J1197" i="2"/>
  <c r="K1196" i="2"/>
  <c r="J1196" i="2"/>
  <c r="K1195" i="2"/>
  <c r="J1195" i="2"/>
  <c r="K1194" i="2"/>
  <c r="J1194" i="2"/>
  <c r="K1193" i="2"/>
  <c r="J1193" i="2"/>
  <c r="K1192" i="2"/>
  <c r="J1192" i="2"/>
  <c r="K1191" i="2"/>
  <c r="J1191" i="2"/>
  <c r="K1190" i="2"/>
  <c r="J1190" i="2"/>
  <c r="K1189" i="2"/>
  <c r="J1189" i="2"/>
  <c r="K1188" i="2"/>
  <c r="J1188" i="2"/>
  <c r="K1187" i="2"/>
  <c r="J1187" i="2"/>
  <c r="K1186" i="2"/>
  <c r="J1186" i="2"/>
  <c r="K1185" i="2"/>
  <c r="J1185" i="2"/>
  <c r="K1184" i="2"/>
  <c r="J1184" i="2"/>
  <c r="K1183" i="2"/>
  <c r="J1183" i="2"/>
  <c r="K1182" i="2"/>
  <c r="J1182" i="2"/>
  <c r="K1181" i="2"/>
  <c r="J1181" i="2"/>
  <c r="K1180" i="2"/>
  <c r="J1180" i="2"/>
  <c r="K1179" i="2"/>
  <c r="J1179" i="2"/>
  <c r="K1178" i="2"/>
  <c r="J1178" i="2"/>
  <c r="K1177" i="2"/>
  <c r="J1177" i="2"/>
  <c r="K1176" i="2"/>
  <c r="J1176" i="2"/>
  <c r="K1175" i="2"/>
  <c r="J1175" i="2"/>
  <c r="K1174" i="2"/>
  <c r="J1174" i="2"/>
  <c r="K1173" i="2"/>
  <c r="J1173" i="2"/>
  <c r="K1172" i="2"/>
  <c r="J1172" i="2"/>
  <c r="K1171" i="2"/>
  <c r="J1171" i="2"/>
  <c r="K1170" i="2"/>
  <c r="J1170" i="2"/>
  <c r="K1169" i="2"/>
  <c r="J1169" i="2"/>
  <c r="K1168" i="2"/>
  <c r="J1168" i="2"/>
  <c r="K1167" i="2"/>
  <c r="J1167" i="2"/>
  <c r="K1166" i="2"/>
  <c r="J1166" i="2"/>
  <c r="K1165" i="2"/>
  <c r="J1165" i="2"/>
  <c r="K1164" i="2"/>
  <c r="J1164" i="2"/>
  <c r="K1163" i="2"/>
  <c r="J1163" i="2"/>
  <c r="K1162" i="2"/>
  <c r="J1162" i="2"/>
  <c r="K1161" i="2"/>
  <c r="J1161" i="2"/>
  <c r="K1160" i="2"/>
  <c r="J1160" i="2"/>
  <c r="K1159" i="2"/>
  <c r="J1159" i="2"/>
  <c r="K1158" i="2"/>
  <c r="J1158" i="2"/>
  <c r="K1157" i="2"/>
  <c r="J1157" i="2"/>
  <c r="K1156" i="2"/>
  <c r="J1156" i="2"/>
  <c r="K1155" i="2"/>
  <c r="J1155" i="2"/>
  <c r="K1154" i="2"/>
  <c r="J1154" i="2"/>
  <c r="K1153" i="2"/>
  <c r="J1153" i="2"/>
  <c r="K1152" i="2"/>
  <c r="J1152" i="2"/>
  <c r="K1151" i="2"/>
  <c r="J1151" i="2"/>
  <c r="K1150" i="2"/>
  <c r="J1150" i="2"/>
  <c r="K1149" i="2"/>
  <c r="J1149" i="2"/>
  <c r="K1148" i="2"/>
  <c r="J1148" i="2"/>
  <c r="K1147" i="2"/>
  <c r="J1147" i="2"/>
  <c r="K1146" i="2"/>
  <c r="J1146" i="2"/>
  <c r="K1145" i="2"/>
  <c r="J1145" i="2"/>
  <c r="K1144" i="2"/>
  <c r="J1144" i="2"/>
  <c r="K1143" i="2"/>
  <c r="J1143" i="2"/>
  <c r="K1142" i="2"/>
  <c r="J1142" i="2"/>
  <c r="K1141" i="2"/>
  <c r="J1141" i="2"/>
  <c r="K1140" i="2"/>
  <c r="J1140" i="2"/>
  <c r="K1139" i="2"/>
  <c r="J1139" i="2"/>
  <c r="K1138" i="2"/>
  <c r="J1138" i="2"/>
  <c r="K1137" i="2"/>
  <c r="J1137" i="2"/>
  <c r="K1136" i="2"/>
  <c r="J1136" i="2"/>
  <c r="K1135" i="2"/>
  <c r="J1135" i="2"/>
  <c r="K1134" i="2"/>
  <c r="J1134" i="2"/>
  <c r="K1133" i="2"/>
  <c r="J1133" i="2"/>
  <c r="K1132" i="2"/>
  <c r="J1132" i="2"/>
  <c r="K1131" i="2"/>
  <c r="J1131" i="2"/>
  <c r="K1130" i="2"/>
  <c r="J1130" i="2"/>
  <c r="K1129" i="2"/>
  <c r="J1129" i="2"/>
  <c r="K1128" i="2"/>
  <c r="J1128" i="2"/>
  <c r="K1127" i="2"/>
  <c r="J1127" i="2"/>
  <c r="K1126" i="2"/>
  <c r="J1126" i="2"/>
  <c r="K1125" i="2"/>
  <c r="J1125" i="2"/>
  <c r="K1124" i="2"/>
  <c r="J1124" i="2"/>
  <c r="K1123" i="2"/>
  <c r="J1123" i="2"/>
  <c r="K1122" i="2"/>
  <c r="J1122" i="2"/>
  <c r="K1121" i="2"/>
  <c r="J1121" i="2"/>
  <c r="K1120" i="2"/>
  <c r="J1120" i="2"/>
  <c r="K1119" i="2"/>
  <c r="J1119" i="2"/>
  <c r="K1118" i="2"/>
  <c r="J1118" i="2"/>
  <c r="K1117" i="2"/>
  <c r="J1117" i="2"/>
  <c r="K1116" i="2"/>
  <c r="J1116" i="2"/>
  <c r="K1115" i="2"/>
  <c r="J1115" i="2"/>
  <c r="K1114" i="2"/>
  <c r="J1114" i="2"/>
  <c r="K1113" i="2"/>
  <c r="J1113" i="2"/>
  <c r="K1112" i="2"/>
  <c r="J1112" i="2"/>
  <c r="K1111" i="2"/>
  <c r="J1111" i="2"/>
  <c r="K1110" i="2"/>
  <c r="J1110" i="2"/>
  <c r="K1109" i="2"/>
  <c r="J1109" i="2"/>
  <c r="K1108" i="2"/>
  <c r="J1108" i="2"/>
  <c r="K1107" i="2"/>
  <c r="J1107" i="2"/>
  <c r="K1106" i="2"/>
  <c r="J1106" i="2"/>
  <c r="K1105" i="2"/>
  <c r="J1105" i="2"/>
  <c r="K1104" i="2"/>
  <c r="J1104" i="2"/>
  <c r="K1103" i="2"/>
  <c r="J1103" i="2"/>
  <c r="K1102" i="2"/>
  <c r="J1102" i="2"/>
  <c r="K1101" i="2"/>
  <c r="J1101" i="2"/>
  <c r="K1100" i="2"/>
  <c r="J1100" i="2"/>
  <c r="K1099" i="2"/>
  <c r="J1099" i="2"/>
  <c r="K1098" i="2"/>
  <c r="J1098" i="2"/>
  <c r="K1097" i="2"/>
  <c r="J1097" i="2"/>
  <c r="K1096" i="2"/>
  <c r="J1096" i="2"/>
  <c r="K1095" i="2"/>
  <c r="J1095" i="2"/>
  <c r="K1094" i="2"/>
  <c r="J1094" i="2"/>
  <c r="K1093" i="2"/>
  <c r="J1093" i="2"/>
  <c r="K1092" i="2"/>
  <c r="J1092" i="2"/>
  <c r="K1091" i="2"/>
  <c r="J1091" i="2"/>
  <c r="K1090" i="2"/>
  <c r="J1090" i="2"/>
  <c r="K1089" i="2"/>
  <c r="J1089" i="2"/>
  <c r="K1088" i="2"/>
  <c r="J1088" i="2"/>
  <c r="K1087" i="2"/>
  <c r="J1087" i="2"/>
  <c r="K1086" i="2"/>
  <c r="J1086" i="2"/>
  <c r="K1085" i="2"/>
  <c r="J1085" i="2"/>
  <c r="K1084" i="2"/>
  <c r="J1084" i="2"/>
  <c r="K1083" i="2"/>
  <c r="J1083" i="2"/>
  <c r="K1082" i="2"/>
  <c r="J1082" i="2"/>
  <c r="K1081" i="2"/>
  <c r="J1081" i="2"/>
  <c r="K1080" i="2"/>
  <c r="J1080" i="2"/>
  <c r="K1079" i="2"/>
  <c r="J1079" i="2"/>
  <c r="K1078" i="2"/>
  <c r="J1078" i="2"/>
  <c r="K1077" i="2"/>
  <c r="J1077" i="2"/>
  <c r="K1076" i="2"/>
  <c r="J1076" i="2"/>
  <c r="K1075" i="2"/>
  <c r="J1075" i="2"/>
  <c r="K1074" i="2"/>
  <c r="J1074" i="2"/>
  <c r="K1073" i="2"/>
  <c r="J1073" i="2"/>
  <c r="K1072" i="2"/>
  <c r="J1072" i="2"/>
  <c r="K1071" i="2"/>
  <c r="J1071" i="2"/>
  <c r="K1070" i="2"/>
  <c r="J1070" i="2"/>
  <c r="K1069" i="2"/>
  <c r="J1069" i="2"/>
  <c r="K1068" i="2"/>
  <c r="J1068" i="2"/>
  <c r="K1067" i="2"/>
  <c r="J1067" i="2"/>
  <c r="K1066" i="2"/>
  <c r="J1066" i="2"/>
  <c r="K1065" i="2"/>
  <c r="J1065" i="2"/>
  <c r="K1064" i="2"/>
  <c r="J1064" i="2"/>
  <c r="K1063" i="2"/>
  <c r="J1063" i="2"/>
  <c r="K1062" i="2"/>
  <c r="J1062" i="2"/>
  <c r="K1061" i="2"/>
  <c r="J1061" i="2"/>
  <c r="K1060" i="2"/>
  <c r="J1060" i="2"/>
  <c r="K1059" i="2"/>
  <c r="J1059" i="2"/>
  <c r="K1058" i="2"/>
  <c r="J1058" i="2"/>
  <c r="K1057" i="2"/>
  <c r="J1057" i="2"/>
  <c r="K1056" i="2"/>
  <c r="J1056" i="2"/>
  <c r="K1055" i="2"/>
  <c r="J1055" i="2"/>
  <c r="K1054" i="2"/>
  <c r="J1054" i="2"/>
  <c r="K1053" i="2"/>
  <c r="J1053" i="2"/>
  <c r="K1052" i="2"/>
  <c r="J1052" i="2"/>
  <c r="K1051" i="2"/>
  <c r="J1051" i="2"/>
  <c r="K1050" i="2"/>
  <c r="J1050" i="2"/>
  <c r="K1049" i="2"/>
  <c r="J1049" i="2"/>
  <c r="K1048" i="2"/>
  <c r="J1048" i="2"/>
  <c r="K1047" i="2"/>
  <c r="J1047" i="2"/>
  <c r="K1046" i="2"/>
  <c r="J1046" i="2"/>
  <c r="K1045" i="2"/>
  <c r="J1045" i="2"/>
  <c r="K1044" i="2"/>
  <c r="J1044" i="2"/>
  <c r="K1043" i="2"/>
  <c r="J1043" i="2"/>
  <c r="K1042" i="2"/>
  <c r="J1042" i="2"/>
  <c r="K1041" i="2"/>
  <c r="J1041" i="2"/>
  <c r="K1040" i="2"/>
  <c r="J1040" i="2"/>
  <c r="K1039" i="2"/>
  <c r="J1039" i="2"/>
  <c r="K1038" i="2"/>
  <c r="J1038" i="2"/>
  <c r="K1037" i="2"/>
  <c r="J1037" i="2"/>
  <c r="K1036" i="2"/>
  <c r="J1036" i="2"/>
  <c r="K1035" i="2"/>
  <c r="J1035" i="2"/>
  <c r="K1034" i="2"/>
  <c r="J1034" i="2"/>
  <c r="K1033" i="2"/>
  <c r="J1033" i="2"/>
  <c r="K1032" i="2"/>
  <c r="J1032" i="2"/>
  <c r="K1031" i="2"/>
  <c r="J1031" i="2"/>
  <c r="K1030" i="2"/>
  <c r="J1030" i="2"/>
  <c r="K1029" i="2"/>
  <c r="J1029" i="2"/>
  <c r="K1028" i="2"/>
  <c r="J1028" i="2"/>
  <c r="K1027" i="2"/>
  <c r="J1027" i="2"/>
  <c r="K1026" i="2"/>
  <c r="J1026" i="2"/>
  <c r="K1025" i="2"/>
  <c r="J1025" i="2"/>
  <c r="K1024" i="2"/>
  <c r="J1024" i="2"/>
  <c r="K1023" i="2"/>
  <c r="J1023" i="2"/>
  <c r="K1022" i="2"/>
  <c r="J1022" i="2"/>
  <c r="K1021" i="2"/>
  <c r="J1021" i="2"/>
  <c r="K1020" i="2"/>
  <c r="J1020" i="2"/>
  <c r="K1019" i="2"/>
  <c r="J1019" i="2"/>
  <c r="K1018" i="2"/>
  <c r="J1018" i="2"/>
  <c r="K1017" i="2"/>
  <c r="J1017" i="2"/>
  <c r="K1016" i="2"/>
  <c r="J1016" i="2"/>
  <c r="K1015" i="2"/>
  <c r="J1015" i="2"/>
  <c r="K1014" i="2"/>
  <c r="J1014" i="2"/>
  <c r="K1013" i="2"/>
  <c r="J1013" i="2"/>
  <c r="K1012" i="2"/>
  <c r="J1012" i="2"/>
  <c r="K1011" i="2"/>
  <c r="J1011" i="2"/>
  <c r="K1010" i="2"/>
  <c r="J1010" i="2"/>
  <c r="K1009" i="2"/>
  <c r="J1009" i="2"/>
  <c r="K1008" i="2"/>
  <c r="J1008" i="2"/>
  <c r="K1007" i="2"/>
  <c r="J1007" i="2"/>
  <c r="K1006" i="2"/>
  <c r="J1006" i="2"/>
  <c r="K1005" i="2"/>
  <c r="J1005" i="2"/>
  <c r="K1004" i="2"/>
  <c r="J1004" i="2"/>
  <c r="K1003" i="2"/>
  <c r="J1003" i="2"/>
  <c r="K1002" i="2"/>
  <c r="J1002" i="2"/>
  <c r="K1001" i="2"/>
  <c r="J1001" i="2"/>
  <c r="K1000" i="2"/>
  <c r="J1000" i="2"/>
  <c r="K999" i="2"/>
  <c r="J999" i="2"/>
  <c r="K998" i="2"/>
  <c r="J998" i="2"/>
  <c r="K997" i="2"/>
  <c r="J997" i="2"/>
  <c r="K996" i="2"/>
  <c r="J996" i="2"/>
  <c r="K995" i="2"/>
  <c r="J995" i="2"/>
  <c r="K994" i="2"/>
  <c r="J994" i="2"/>
  <c r="K993" i="2"/>
  <c r="J993" i="2"/>
  <c r="K992" i="2"/>
  <c r="J992" i="2"/>
  <c r="K991" i="2"/>
  <c r="J991" i="2"/>
  <c r="K990" i="2"/>
  <c r="J990" i="2"/>
  <c r="K989" i="2"/>
  <c r="J989" i="2"/>
  <c r="K988" i="2"/>
  <c r="J988" i="2"/>
  <c r="K987" i="2"/>
  <c r="J987" i="2"/>
  <c r="K986" i="2"/>
  <c r="J986" i="2"/>
  <c r="K985" i="2"/>
  <c r="J985" i="2"/>
  <c r="K984" i="2"/>
  <c r="J984" i="2"/>
  <c r="K983" i="2"/>
  <c r="J983" i="2"/>
  <c r="K982" i="2"/>
  <c r="J982" i="2"/>
  <c r="K981" i="2"/>
  <c r="J981" i="2"/>
  <c r="K980" i="2"/>
  <c r="J980" i="2"/>
  <c r="K979" i="2"/>
  <c r="J979" i="2"/>
  <c r="K978" i="2"/>
  <c r="J978" i="2"/>
  <c r="K977" i="2"/>
  <c r="J977" i="2"/>
  <c r="K976" i="2"/>
  <c r="J976" i="2"/>
  <c r="K975" i="2"/>
  <c r="J975" i="2"/>
  <c r="K974" i="2"/>
  <c r="J974" i="2"/>
  <c r="K973" i="2"/>
  <c r="J973" i="2"/>
  <c r="K972" i="2"/>
  <c r="J972" i="2"/>
  <c r="K971" i="2"/>
  <c r="J971" i="2"/>
  <c r="K970" i="2"/>
  <c r="J970" i="2"/>
  <c r="K969" i="2"/>
  <c r="J969" i="2"/>
  <c r="K968" i="2"/>
  <c r="J968" i="2"/>
  <c r="K967" i="2"/>
  <c r="J967" i="2"/>
  <c r="K966" i="2"/>
  <c r="J966" i="2"/>
  <c r="K965" i="2"/>
  <c r="J965" i="2"/>
  <c r="K964" i="2"/>
  <c r="J964" i="2"/>
  <c r="K963" i="2"/>
  <c r="J963" i="2"/>
  <c r="K962" i="2"/>
  <c r="J962" i="2"/>
  <c r="K961" i="2"/>
  <c r="J961" i="2"/>
  <c r="K960" i="2"/>
  <c r="J960" i="2"/>
  <c r="K959" i="2"/>
  <c r="J959" i="2"/>
  <c r="K958" i="2"/>
  <c r="J958" i="2"/>
  <c r="K957" i="2"/>
  <c r="J957" i="2"/>
  <c r="K956" i="2"/>
  <c r="J956" i="2"/>
  <c r="K955" i="2"/>
  <c r="J955" i="2"/>
  <c r="K954" i="2"/>
  <c r="J954" i="2"/>
  <c r="K953" i="2"/>
  <c r="J953" i="2"/>
  <c r="K952" i="2"/>
  <c r="J952" i="2"/>
  <c r="K951" i="2"/>
  <c r="J951" i="2"/>
  <c r="K950" i="2"/>
  <c r="J950" i="2"/>
  <c r="K949" i="2"/>
  <c r="J949" i="2"/>
  <c r="K948" i="2"/>
  <c r="J948" i="2"/>
  <c r="K947" i="2"/>
  <c r="J947" i="2"/>
  <c r="K946" i="2"/>
  <c r="J946" i="2"/>
  <c r="K945" i="2"/>
  <c r="J945" i="2"/>
  <c r="K944" i="2"/>
  <c r="J944" i="2"/>
  <c r="K943" i="2"/>
  <c r="J943" i="2"/>
  <c r="K942" i="2"/>
  <c r="J942" i="2"/>
  <c r="K941" i="2"/>
  <c r="J941" i="2"/>
  <c r="K940" i="2"/>
  <c r="J940" i="2"/>
  <c r="K939" i="2"/>
  <c r="J939" i="2"/>
  <c r="K938" i="2"/>
  <c r="J938" i="2"/>
  <c r="K937" i="2"/>
  <c r="J937" i="2"/>
  <c r="K936" i="2"/>
  <c r="J936" i="2"/>
  <c r="K935" i="2"/>
  <c r="J935" i="2"/>
  <c r="K934" i="2"/>
  <c r="J934" i="2"/>
  <c r="K933" i="2"/>
  <c r="J933" i="2"/>
  <c r="K932" i="2"/>
  <c r="J932" i="2"/>
  <c r="K931" i="2"/>
  <c r="J931" i="2"/>
  <c r="K930" i="2"/>
  <c r="J930" i="2"/>
  <c r="K929" i="2"/>
  <c r="J929" i="2"/>
  <c r="K928" i="2"/>
  <c r="J928" i="2"/>
  <c r="K927" i="2"/>
  <c r="J927" i="2"/>
  <c r="K926" i="2"/>
  <c r="J926" i="2"/>
  <c r="K925" i="2"/>
  <c r="J925" i="2"/>
  <c r="K924" i="2"/>
  <c r="J924" i="2"/>
  <c r="K923" i="2"/>
  <c r="J923" i="2"/>
  <c r="K922" i="2"/>
  <c r="J922" i="2"/>
  <c r="K921" i="2"/>
  <c r="J921" i="2"/>
  <c r="K920" i="2"/>
  <c r="J920" i="2"/>
  <c r="K919" i="2"/>
  <c r="J919" i="2"/>
  <c r="K918" i="2"/>
  <c r="J918" i="2"/>
  <c r="K917" i="2"/>
  <c r="J917" i="2"/>
  <c r="K916" i="2"/>
  <c r="J916" i="2"/>
  <c r="K915" i="2"/>
  <c r="J915" i="2"/>
  <c r="K914" i="2"/>
  <c r="J914" i="2"/>
  <c r="K913" i="2"/>
  <c r="J913" i="2"/>
  <c r="K912" i="2"/>
  <c r="J912" i="2"/>
  <c r="K911" i="2"/>
  <c r="J911" i="2"/>
  <c r="K910" i="2"/>
  <c r="J910" i="2"/>
  <c r="K909" i="2"/>
  <c r="J909" i="2"/>
  <c r="K908" i="2"/>
  <c r="J908" i="2"/>
  <c r="K907" i="2"/>
  <c r="J907" i="2"/>
  <c r="K906" i="2"/>
  <c r="J906" i="2"/>
  <c r="K905" i="2"/>
  <c r="J905" i="2"/>
  <c r="K904" i="2"/>
  <c r="J904" i="2"/>
  <c r="K903" i="2"/>
  <c r="J903" i="2"/>
  <c r="K902" i="2"/>
  <c r="J902" i="2"/>
  <c r="K901" i="2"/>
  <c r="J901" i="2"/>
  <c r="K900" i="2"/>
  <c r="J900" i="2"/>
  <c r="K899" i="2"/>
  <c r="J899" i="2"/>
  <c r="K898" i="2"/>
  <c r="J898" i="2"/>
  <c r="K897" i="2"/>
  <c r="J897" i="2"/>
  <c r="K896" i="2"/>
  <c r="J896" i="2"/>
  <c r="K895" i="2"/>
  <c r="J895" i="2"/>
  <c r="K894" i="2"/>
  <c r="J894" i="2"/>
  <c r="K893" i="2"/>
  <c r="J893" i="2"/>
  <c r="K892" i="2"/>
  <c r="J892" i="2"/>
  <c r="K891" i="2"/>
  <c r="J891" i="2"/>
  <c r="K890" i="2"/>
  <c r="J890" i="2"/>
  <c r="K889" i="2"/>
  <c r="J889" i="2"/>
  <c r="K888" i="2"/>
  <c r="J888" i="2"/>
  <c r="K887" i="2"/>
  <c r="J887" i="2"/>
  <c r="K886" i="2"/>
  <c r="J886" i="2"/>
  <c r="K885" i="2"/>
  <c r="J885" i="2"/>
  <c r="K884" i="2"/>
  <c r="J884" i="2"/>
  <c r="K883" i="2"/>
  <c r="J883" i="2"/>
  <c r="K882" i="2"/>
  <c r="J882" i="2"/>
  <c r="K881" i="2"/>
  <c r="J881" i="2"/>
  <c r="K880" i="2"/>
  <c r="J880" i="2"/>
  <c r="K879" i="2"/>
  <c r="J879" i="2"/>
  <c r="K878" i="2"/>
  <c r="J878" i="2"/>
  <c r="K877" i="2"/>
  <c r="J877" i="2"/>
  <c r="K876" i="2"/>
  <c r="J876" i="2"/>
  <c r="K875" i="2"/>
  <c r="J875" i="2"/>
  <c r="K874" i="2"/>
  <c r="J874" i="2"/>
  <c r="K873" i="2"/>
  <c r="J873" i="2"/>
  <c r="K872" i="2"/>
  <c r="J872" i="2"/>
  <c r="K871" i="2"/>
  <c r="J871" i="2"/>
  <c r="K870" i="2"/>
  <c r="J870" i="2"/>
  <c r="K869" i="2"/>
  <c r="J869" i="2"/>
  <c r="K868" i="2"/>
  <c r="J868" i="2"/>
  <c r="K867" i="2"/>
  <c r="J867" i="2"/>
  <c r="K866" i="2"/>
  <c r="J866" i="2"/>
  <c r="K865" i="2"/>
  <c r="J865" i="2"/>
  <c r="K864" i="2"/>
  <c r="J864" i="2"/>
  <c r="K863" i="2"/>
  <c r="J863" i="2"/>
  <c r="K862" i="2"/>
  <c r="J862" i="2"/>
  <c r="K861" i="2"/>
  <c r="J861" i="2"/>
  <c r="K860" i="2"/>
  <c r="J860" i="2"/>
  <c r="K859" i="2"/>
  <c r="J859" i="2"/>
  <c r="K858" i="2"/>
  <c r="J858" i="2"/>
  <c r="K857" i="2"/>
  <c r="J857" i="2"/>
  <c r="K856" i="2"/>
  <c r="J856" i="2"/>
  <c r="K855" i="2"/>
  <c r="J855" i="2"/>
  <c r="K854" i="2"/>
  <c r="J854" i="2"/>
  <c r="K853" i="2"/>
  <c r="J853" i="2"/>
  <c r="K852" i="2"/>
  <c r="J852" i="2"/>
  <c r="K851" i="2"/>
  <c r="J851" i="2"/>
  <c r="K850" i="2"/>
  <c r="J850" i="2"/>
  <c r="K849" i="2"/>
  <c r="J849" i="2"/>
  <c r="K848" i="2"/>
  <c r="J848" i="2"/>
  <c r="K847" i="2"/>
  <c r="J847" i="2"/>
  <c r="K846" i="2"/>
  <c r="J846" i="2"/>
  <c r="K845" i="2"/>
  <c r="J845" i="2"/>
  <c r="K844" i="2"/>
  <c r="J844" i="2"/>
  <c r="K843" i="2"/>
  <c r="J843" i="2"/>
  <c r="K842" i="2"/>
  <c r="J842" i="2"/>
  <c r="K841" i="2"/>
  <c r="J841" i="2"/>
  <c r="K840" i="2"/>
  <c r="J840" i="2"/>
  <c r="K839" i="2"/>
  <c r="J839" i="2"/>
  <c r="K838" i="2"/>
  <c r="J838" i="2"/>
  <c r="K837" i="2"/>
  <c r="J837" i="2"/>
  <c r="K836" i="2"/>
  <c r="J836" i="2"/>
  <c r="K835" i="2"/>
  <c r="J835" i="2"/>
  <c r="K834" i="2"/>
  <c r="J834" i="2"/>
  <c r="K833" i="2"/>
  <c r="J833" i="2"/>
  <c r="K832" i="2"/>
  <c r="J832" i="2"/>
  <c r="K831" i="2"/>
  <c r="J831" i="2"/>
  <c r="K830" i="2"/>
  <c r="J830" i="2"/>
  <c r="K829" i="2"/>
  <c r="J829" i="2"/>
  <c r="K828" i="2"/>
  <c r="J828" i="2"/>
  <c r="K827" i="2"/>
  <c r="J827" i="2"/>
  <c r="K826" i="2"/>
  <c r="J826" i="2"/>
  <c r="K825" i="2"/>
  <c r="J825" i="2"/>
  <c r="K824" i="2"/>
  <c r="J824" i="2"/>
  <c r="K823" i="2"/>
  <c r="J823" i="2"/>
  <c r="K822" i="2"/>
  <c r="J822" i="2"/>
  <c r="K821" i="2"/>
  <c r="J821" i="2"/>
  <c r="K820" i="2"/>
  <c r="J820" i="2"/>
  <c r="K819" i="2"/>
  <c r="J819" i="2"/>
  <c r="K818" i="2"/>
  <c r="J818" i="2"/>
  <c r="K817" i="2"/>
  <c r="J817" i="2"/>
  <c r="K816" i="2"/>
  <c r="J816" i="2"/>
  <c r="K815" i="2"/>
  <c r="J815" i="2"/>
  <c r="K814" i="2"/>
  <c r="J814" i="2"/>
  <c r="K813" i="2"/>
  <c r="J813" i="2"/>
  <c r="K812" i="2"/>
  <c r="J812" i="2"/>
  <c r="K811" i="2"/>
  <c r="J811" i="2"/>
  <c r="K810" i="2"/>
  <c r="J810" i="2"/>
  <c r="K809" i="2"/>
  <c r="J809" i="2"/>
  <c r="K808" i="2"/>
  <c r="J808" i="2"/>
  <c r="K807" i="2"/>
  <c r="J807" i="2"/>
  <c r="K806" i="2"/>
  <c r="J806" i="2"/>
  <c r="K805" i="2"/>
  <c r="J805" i="2"/>
  <c r="K804" i="2"/>
  <c r="J804" i="2"/>
  <c r="K803" i="2"/>
  <c r="J803" i="2"/>
  <c r="K802" i="2"/>
  <c r="J802" i="2"/>
  <c r="K801" i="2"/>
  <c r="J801" i="2"/>
  <c r="K800" i="2"/>
  <c r="J800" i="2"/>
  <c r="K799" i="2"/>
  <c r="J799" i="2"/>
  <c r="K798" i="2"/>
  <c r="J798" i="2"/>
  <c r="K797" i="2"/>
  <c r="J797" i="2"/>
  <c r="K796" i="2"/>
  <c r="J796" i="2"/>
  <c r="K795" i="2"/>
  <c r="J795" i="2"/>
  <c r="K794" i="2"/>
  <c r="J794" i="2"/>
  <c r="K793" i="2"/>
  <c r="J793" i="2"/>
  <c r="K792" i="2"/>
  <c r="J792" i="2"/>
  <c r="K791" i="2"/>
  <c r="J791" i="2"/>
  <c r="K790" i="2"/>
  <c r="J790" i="2"/>
  <c r="K789" i="2"/>
  <c r="J789" i="2"/>
  <c r="K788" i="2"/>
  <c r="J788" i="2"/>
  <c r="K787" i="2"/>
  <c r="J787" i="2"/>
  <c r="K786" i="2"/>
  <c r="J786" i="2"/>
  <c r="K785" i="2"/>
  <c r="J785" i="2"/>
  <c r="K784" i="2"/>
  <c r="J784" i="2"/>
  <c r="K783" i="2"/>
  <c r="J783" i="2"/>
  <c r="K782" i="2"/>
  <c r="J782" i="2"/>
  <c r="K781" i="2"/>
  <c r="J781" i="2"/>
  <c r="K780" i="2"/>
  <c r="J780" i="2"/>
  <c r="K779" i="2"/>
  <c r="J779" i="2"/>
  <c r="K778" i="2"/>
  <c r="J778" i="2"/>
  <c r="K777" i="2"/>
  <c r="J777" i="2"/>
  <c r="K776" i="2"/>
  <c r="J776" i="2"/>
  <c r="K775" i="2"/>
  <c r="J775" i="2"/>
  <c r="K774" i="2"/>
  <c r="J774" i="2"/>
  <c r="K773" i="2"/>
  <c r="J773" i="2"/>
  <c r="K772" i="2"/>
  <c r="J772" i="2"/>
  <c r="K771" i="2"/>
  <c r="J771" i="2"/>
  <c r="K770" i="2"/>
  <c r="J770" i="2"/>
  <c r="K769" i="2"/>
  <c r="J769" i="2"/>
  <c r="K768" i="2"/>
  <c r="J768" i="2"/>
  <c r="K767" i="2"/>
  <c r="J767" i="2"/>
  <c r="K766" i="2"/>
  <c r="J766" i="2"/>
  <c r="K765" i="2"/>
  <c r="J765" i="2"/>
  <c r="K764" i="2"/>
  <c r="J764" i="2"/>
  <c r="K763" i="2"/>
  <c r="J763" i="2"/>
  <c r="K762" i="2"/>
  <c r="J762" i="2"/>
  <c r="K761" i="2"/>
  <c r="J761" i="2"/>
  <c r="K760" i="2"/>
  <c r="J760" i="2"/>
  <c r="K759" i="2"/>
  <c r="J759" i="2"/>
  <c r="K758" i="2"/>
  <c r="J758" i="2"/>
  <c r="K757" i="2"/>
  <c r="J757" i="2"/>
  <c r="K756" i="2"/>
  <c r="J756" i="2"/>
  <c r="K755" i="2"/>
  <c r="J755" i="2"/>
  <c r="K754" i="2"/>
  <c r="J754" i="2"/>
  <c r="K753" i="2"/>
  <c r="J753" i="2"/>
  <c r="K752" i="2"/>
  <c r="J752" i="2"/>
  <c r="K751" i="2"/>
  <c r="J751" i="2"/>
  <c r="K750" i="2"/>
  <c r="J750" i="2"/>
  <c r="K749" i="2"/>
  <c r="J749" i="2"/>
  <c r="K748" i="2"/>
  <c r="J748" i="2"/>
  <c r="K747" i="2"/>
  <c r="J747" i="2"/>
  <c r="K746" i="2"/>
  <c r="J746" i="2"/>
  <c r="K745" i="2"/>
  <c r="J745" i="2"/>
  <c r="K744" i="2"/>
  <c r="J744" i="2"/>
  <c r="K743" i="2"/>
  <c r="J743" i="2"/>
  <c r="K742" i="2"/>
  <c r="J742" i="2"/>
  <c r="K741" i="2"/>
  <c r="J741" i="2"/>
  <c r="K740" i="2"/>
  <c r="J740" i="2"/>
  <c r="K739" i="2"/>
  <c r="J739" i="2"/>
  <c r="K738" i="2"/>
  <c r="J738" i="2"/>
  <c r="K737" i="2"/>
  <c r="J737" i="2"/>
  <c r="K736" i="2"/>
  <c r="J736" i="2"/>
  <c r="K735" i="2"/>
  <c r="J735" i="2"/>
  <c r="K734" i="2"/>
  <c r="J734" i="2"/>
  <c r="K733" i="2"/>
  <c r="J733" i="2"/>
  <c r="K732" i="2"/>
  <c r="J732" i="2"/>
  <c r="K731" i="2"/>
  <c r="J731" i="2"/>
  <c r="K730" i="2"/>
  <c r="J730" i="2"/>
  <c r="K729" i="2"/>
  <c r="J729" i="2"/>
  <c r="K728" i="2"/>
  <c r="J728" i="2"/>
  <c r="K727" i="2"/>
  <c r="J727" i="2"/>
  <c r="K726" i="2"/>
  <c r="J726" i="2"/>
  <c r="K725" i="2"/>
  <c r="J725" i="2"/>
  <c r="K724" i="2"/>
  <c r="J724" i="2"/>
  <c r="K723" i="2"/>
  <c r="J723" i="2"/>
  <c r="K722" i="2"/>
  <c r="J722" i="2"/>
  <c r="K721" i="2"/>
  <c r="J721" i="2"/>
  <c r="K720" i="2"/>
  <c r="J720" i="2"/>
  <c r="K719" i="2"/>
  <c r="J719" i="2"/>
  <c r="K718" i="2"/>
  <c r="J718" i="2"/>
  <c r="K717" i="2"/>
  <c r="J717" i="2"/>
  <c r="K716" i="2"/>
  <c r="J716" i="2"/>
  <c r="K715" i="2"/>
  <c r="J715" i="2"/>
  <c r="K714" i="2"/>
  <c r="J714" i="2"/>
  <c r="K713" i="2"/>
  <c r="J713" i="2"/>
  <c r="K712" i="2"/>
  <c r="J712" i="2"/>
  <c r="K711" i="2"/>
  <c r="J711" i="2"/>
  <c r="K710" i="2"/>
  <c r="J710" i="2"/>
  <c r="K709" i="2"/>
  <c r="J709" i="2"/>
  <c r="K708" i="2"/>
  <c r="J708" i="2"/>
  <c r="K707" i="2"/>
  <c r="J707" i="2"/>
  <c r="K706" i="2"/>
  <c r="J706" i="2"/>
  <c r="K705" i="2"/>
  <c r="J705" i="2"/>
  <c r="K704" i="2"/>
  <c r="J704" i="2"/>
  <c r="K703" i="2"/>
  <c r="J703" i="2"/>
  <c r="K702" i="2"/>
  <c r="J702" i="2"/>
  <c r="K701" i="2"/>
  <c r="J701" i="2"/>
  <c r="K700" i="2"/>
  <c r="J700" i="2"/>
  <c r="K699" i="2"/>
  <c r="J699" i="2"/>
  <c r="K698" i="2"/>
  <c r="J698" i="2"/>
  <c r="K697" i="2"/>
  <c r="J697" i="2"/>
  <c r="K696" i="2"/>
  <c r="J696" i="2"/>
  <c r="K695" i="2"/>
  <c r="J695" i="2"/>
  <c r="K694" i="2"/>
  <c r="J694" i="2"/>
  <c r="K693" i="2"/>
  <c r="J693" i="2"/>
  <c r="K692" i="2"/>
  <c r="J692" i="2"/>
  <c r="K691" i="2"/>
  <c r="J691" i="2"/>
  <c r="K690" i="2"/>
  <c r="J690" i="2"/>
  <c r="K689" i="2"/>
  <c r="J689" i="2"/>
  <c r="K688" i="2"/>
  <c r="J688" i="2"/>
  <c r="K687" i="2"/>
  <c r="J687" i="2"/>
  <c r="K686" i="2"/>
  <c r="J686" i="2"/>
  <c r="K685" i="2"/>
  <c r="J685" i="2"/>
  <c r="K684" i="2"/>
  <c r="J684" i="2"/>
  <c r="K683" i="2"/>
  <c r="J683" i="2"/>
  <c r="K682" i="2"/>
  <c r="J682" i="2"/>
  <c r="K681" i="2"/>
  <c r="J681" i="2"/>
  <c r="K680" i="2"/>
  <c r="J680" i="2"/>
  <c r="K679" i="2"/>
  <c r="J679" i="2"/>
  <c r="K678" i="2"/>
  <c r="J678" i="2"/>
  <c r="K677" i="2"/>
  <c r="J677" i="2"/>
  <c r="K676" i="2"/>
  <c r="J676" i="2"/>
  <c r="K675" i="2"/>
  <c r="J675" i="2"/>
  <c r="K674" i="2"/>
  <c r="J674" i="2"/>
  <c r="K673" i="2"/>
  <c r="J673" i="2"/>
  <c r="K672" i="2"/>
  <c r="J672" i="2"/>
  <c r="K671" i="2"/>
  <c r="J671" i="2"/>
  <c r="K670" i="2"/>
  <c r="J670" i="2"/>
  <c r="K669" i="2"/>
  <c r="J669" i="2"/>
  <c r="K668" i="2"/>
  <c r="J668" i="2"/>
  <c r="K667" i="2"/>
  <c r="J667" i="2"/>
  <c r="K666" i="2"/>
  <c r="J666" i="2"/>
  <c r="K665" i="2"/>
  <c r="J665" i="2"/>
  <c r="K664" i="2"/>
  <c r="J664" i="2"/>
  <c r="K663" i="2"/>
  <c r="J663" i="2"/>
  <c r="K662" i="2"/>
  <c r="J662" i="2"/>
  <c r="K661" i="2"/>
  <c r="J661" i="2"/>
  <c r="K660" i="2"/>
  <c r="J660" i="2"/>
  <c r="K659" i="2"/>
  <c r="J659" i="2"/>
  <c r="K658" i="2"/>
  <c r="J658" i="2"/>
  <c r="K657" i="2"/>
  <c r="J657" i="2"/>
  <c r="K656" i="2"/>
  <c r="J656" i="2"/>
  <c r="K655" i="2"/>
  <c r="J655" i="2"/>
  <c r="K654" i="2"/>
  <c r="J654" i="2"/>
  <c r="K653" i="2"/>
  <c r="J653" i="2"/>
  <c r="K652" i="2"/>
  <c r="J652" i="2"/>
  <c r="K651" i="2"/>
  <c r="J651" i="2"/>
  <c r="K650" i="2"/>
  <c r="J650" i="2"/>
  <c r="K649" i="2"/>
  <c r="J649" i="2"/>
  <c r="K648" i="2"/>
  <c r="J648" i="2"/>
  <c r="K647" i="2"/>
  <c r="J647" i="2"/>
  <c r="K646" i="2"/>
  <c r="J646" i="2"/>
  <c r="K645" i="2"/>
  <c r="J645" i="2"/>
  <c r="K644" i="2"/>
  <c r="J644" i="2"/>
  <c r="K643" i="2"/>
  <c r="J643" i="2"/>
  <c r="K642" i="2"/>
  <c r="J642" i="2"/>
  <c r="K641" i="2"/>
  <c r="J641" i="2"/>
  <c r="K640" i="2"/>
  <c r="J640" i="2"/>
  <c r="K639" i="2"/>
  <c r="J639" i="2"/>
  <c r="K638" i="2"/>
  <c r="J638" i="2"/>
  <c r="K637" i="2"/>
  <c r="J637" i="2"/>
  <c r="K636" i="2"/>
  <c r="J636" i="2"/>
  <c r="K635" i="2"/>
  <c r="J635" i="2"/>
  <c r="K634" i="2"/>
  <c r="J634" i="2"/>
  <c r="K633" i="2"/>
  <c r="J633" i="2"/>
  <c r="K632" i="2"/>
  <c r="J632" i="2"/>
  <c r="K631" i="2"/>
  <c r="J631" i="2"/>
  <c r="K630" i="2"/>
  <c r="J630" i="2"/>
  <c r="K629" i="2"/>
  <c r="J629" i="2"/>
  <c r="K628" i="2"/>
  <c r="J628" i="2"/>
  <c r="K627" i="2"/>
  <c r="J627" i="2"/>
  <c r="K626" i="2"/>
  <c r="J626" i="2"/>
  <c r="K625" i="2"/>
  <c r="J625" i="2"/>
  <c r="K624" i="2"/>
  <c r="J624" i="2"/>
  <c r="K623" i="2"/>
  <c r="J623" i="2"/>
  <c r="K622" i="2"/>
  <c r="J622" i="2"/>
  <c r="K621" i="2"/>
  <c r="J621" i="2"/>
  <c r="K620" i="2"/>
  <c r="J620" i="2"/>
  <c r="K619" i="2"/>
  <c r="J619" i="2"/>
  <c r="K618" i="2"/>
  <c r="J618" i="2"/>
  <c r="K617" i="2"/>
  <c r="J617" i="2"/>
  <c r="K616" i="2"/>
  <c r="J616" i="2"/>
  <c r="K615" i="2"/>
  <c r="J615" i="2"/>
  <c r="K614" i="2"/>
  <c r="J614" i="2"/>
  <c r="K613" i="2"/>
  <c r="J613" i="2"/>
  <c r="K612" i="2"/>
  <c r="J612" i="2"/>
  <c r="K611" i="2"/>
  <c r="J611" i="2"/>
  <c r="K610" i="2"/>
  <c r="J610" i="2"/>
  <c r="K609" i="2"/>
  <c r="J609" i="2"/>
  <c r="K608" i="2"/>
  <c r="J608" i="2"/>
  <c r="K607" i="2"/>
  <c r="J607" i="2"/>
  <c r="K606" i="2"/>
  <c r="J606" i="2"/>
  <c r="K605" i="2"/>
  <c r="J605" i="2"/>
  <c r="K604" i="2"/>
  <c r="J604" i="2"/>
  <c r="K603" i="2"/>
  <c r="J603" i="2"/>
  <c r="K602" i="2"/>
  <c r="J602" i="2"/>
  <c r="K601" i="2"/>
  <c r="J601" i="2"/>
  <c r="K600" i="2"/>
  <c r="J600" i="2"/>
  <c r="K599" i="2"/>
  <c r="J599" i="2"/>
  <c r="K598" i="2"/>
  <c r="J598" i="2"/>
  <c r="K597" i="2"/>
  <c r="J597" i="2"/>
  <c r="K596" i="2"/>
  <c r="J596" i="2"/>
  <c r="K595" i="2"/>
  <c r="J595" i="2"/>
  <c r="K594" i="2"/>
  <c r="J594" i="2"/>
  <c r="K593" i="2"/>
  <c r="J593" i="2"/>
  <c r="K592" i="2"/>
  <c r="J592" i="2"/>
  <c r="K591" i="2"/>
  <c r="J591" i="2"/>
  <c r="K590" i="2"/>
  <c r="J590" i="2"/>
  <c r="K589" i="2"/>
  <c r="J589" i="2"/>
  <c r="K588" i="2"/>
  <c r="J588" i="2"/>
  <c r="K587" i="2"/>
  <c r="J587" i="2"/>
  <c r="K586" i="2"/>
  <c r="J586" i="2"/>
  <c r="K585" i="2"/>
  <c r="J585" i="2"/>
  <c r="K584" i="2"/>
  <c r="J584" i="2"/>
  <c r="K583" i="2"/>
  <c r="J583" i="2"/>
  <c r="K582" i="2"/>
  <c r="J582" i="2"/>
  <c r="K581" i="2"/>
  <c r="J581" i="2"/>
  <c r="K580" i="2"/>
  <c r="J580" i="2"/>
  <c r="K579" i="2"/>
  <c r="J579" i="2"/>
  <c r="K578" i="2"/>
  <c r="J578" i="2"/>
  <c r="K577" i="2"/>
  <c r="J577" i="2"/>
  <c r="K576" i="2"/>
  <c r="J576" i="2"/>
  <c r="K575" i="2"/>
  <c r="J575" i="2"/>
  <c r="K574" i="2"/>
  <c r="J574" i="2"/>
  <c r="K573" i="2"/>
  <c r="J573" i="2"/>
  <c r="K572" i="2"/>
  <c r="J572" i="2"/>
  <c r="K571" i="2"/>
  <c r="J571" i="2"/>
  <c r="K570" i="2"/>
  <c r="J570" i="2"/>
  <c r="K569" i="2"/>
  <c r="J569" i="2"/>
  <c r="K568" i="2"/>
  <c r="J568" i="2"/>
  <c r="K567" i="2"/>
  <c r="J567" i="2"/>
  <c r="K566" i="2"/>
  <c r="J566" i="2"/>
  <c r="K565" i="2"/>
  <c r="J565" i="2"/>
  <c r="K564" i="2"/>
  <c r="J564" i="2"/>
  <c r="K563" i="2"/>
  <c r="J563" i="2"/>
  <c r="K562" i="2"/>
  <c r="J562" i="2"/>
  <c r="K561" i="2"/>
  <c r="J561" i="2"/>
  <c r="K560" i="2"/>
  <c r="J560" i="2"/>
  <c r="K559" i="2"/>
  <c r="J559" i="2"/>
  <c r="K558" i="2"/>
  <c r="J558" i="2"/>
  <c r="K557" i="2"/>
  <c r="J557" i="2"/>
  <c r="K556" i="2"/>
  <c r="J556" i="2"/>
  <c r="K555" i="2"/>
  <c r="J555" i="2"/>
  <c r="K554" i="2"/>
  <c r="J554" i="2"/>
  <c r="K553" i="2"/>
  <c r="J553" i="2"/>
  <c r="K552" i="2"/>
  <c r="J552" i="2"/>
  <c r="K551" i="2"/>
  <c r="J551" i="2"/>
  <c r="K550" i="2"/>
  <c r="J550" i="2"/>
  <c r="K549" i="2"/>
  <c r="J549" i="2"/>
  <c r="K548" i="2"/>
  <c r="J548" i="2"/>
  <c r="K547" i="2"/>
  <c r="J547" i="2"/>
  <c r="K546" i="2"/>
  <c r="J546" i="2"/>
  <c r="K545" i="2"/>
  <c r="J545" i="2"/>
  <c r="K544" i="2"/>
  <c r="J544" i="2"/>
  <c r="K543" i="2"/>
  <c r="J543" i="2"/>
  <c r="K542" i="2"/>
  <c r="J542" i="2"/>
  <c r="K541" i="2"/>
  <c r="J541" i="2"/>
  <c r="K540" i="2"/>
  <c r="J540" i="2"/>
  <c r="K539" i="2"/>
  <c r="J539" i="2"/>
  <c r="K538" i="2"/>
  <c r="J538" i="2"/>
  <c r="K537" i="2"/>
  <c r="J537" i="2"/>
  <c r="K536" i="2"/>
  <c r="J536" i="2"/>
  <c r="K535" i="2"/>
  <c r="J535" i="2"/>
  <c r="K534" i="2"/>
  <c r="J534" i="2"/>
  <c r="K533" i="2"/>
  <c r="J533" i="2"/>
  <c r="K532" i="2"/>
  <c r="J532" i="2"/>
  <c r="K531" i="2"/>
  <c r="J531" i="2"/>
  <c r="K530" i="2"/>
  <c r="J530" i="2"/>
  <c r="K529" i="2"/>
  <c r="J529" i="2"/>
  <c r="K528" i="2"/>
  <c r="J528" i="2"/>
  <c r="K527" i="2"/>
  <c r="J527" i="2"/>
  <c r="K526" i="2"/>
  <c r="J526" i="2"/>
  <c r="K525" i="2"/>
  <c r="J525" i="2"/>
  <c r="K524" i="2"/>
  <c r="J524" i="2"/>
  <c r="K523" i="2"/>
  <c r="J523" i="2"/>
  <c r="K522" i="2"/>
  <c r="J522" i="2"/>
  <c r="K521" i="2"/>
  <c r="J521" i="2"/>
  <c r="K520" i="2"/>
  <c r="J520" i="2"/>
  <c r="K519" i="2"/>
  <c r="J519" i="2"/>
  <c r="K518" i="2"/>
  <c r="J518" i="2"/>
  <c r="K517" i="2"/>
  <c r="J517" i="2"/>
  <c r="K516" i="2"/>
  <c r="J516" i="2"/>
  <c r="K515" i="2"/>
  <c r="J515" i="2"/>
  <c r="K514" i="2"/>
  <c r="J514" i="2"/>
  <c r="K513" i="2"/>
  <c r="J513" i="2"/>
  <c r="K512" i="2"/>
  <c r="J512" i="2"/>
  <c r="K511" i="2"/>
  <c r="J511" i="2"/>
  <c r="K510" i="2"/>
  <c r="J510" i="2"/>
  <c r="K509" i="2"/>
  <c r="J509" i="2"/>
  <c r="K508" i="2"/>
  <c r="J508" i="2"/>
  <c r="K507" i="2"/>
  <c r="J507" i="2"/>
  <c r="K506" i="2"/>
  <c r="J506" i="2"/>
  <c r="K505" i="2"/>
  <c r="J505" i="2"/>
  <c r="K504" i="2"/>
  <c r="J504" i="2"/>
  <c r="K503" i="2"/>
  <c r="J503" i="2"/>
  <c r="K502" i="2"/>
  <c r="J502" i="2"/>
  <c r="K501" i="2"/>
  <c r="J501" i="2"/>
  <c r="K500" i="2"/>
  <c r="J500" i="2"/>
  <c r="K499" i="2"/>
  <c r="J499" i="2"/>
  <c r="K498" i="2"/>
  <c r="J498" i="2"/>
  <c r="K497" i="2"/>
  <c r="J497" i="2"/>
  <c r="K496" i="2"/>
  <c r="J496" i="2"/>
  <c r="K495" i="2"/>
  <c r="J495" i="2"/>
  <c r="K494" i="2"/>
  <c r="J494" i="2"/>
  <c r="K493" i="2"/>
  <c r="J493" i="2"/>
  <c r="K492" i="2"/>
  <c r="J492" i="2"/>
  <c r="K491" i="2"/>
  <c r="J491" i="2"/>
  <c r="K490" i="2"/>
  <c r="J490" i="2"/>
  <c r="K489" i="2"/>
  <c r="J489" i="2"/>
  <c r="K488" i="2"/>
  <c r="J488" i="2"/>
  <c r="K487" i="2"/>
  <c r="J487" i="2"/>
  <c r="K486" i="2"/>
  <c r="J486" i="2"/>
  <c r="K485" i="2"/>
  <c r="J485" i="2"/>
  <c r="K484" i="2"/>
  <c r="J484" i="2"/>
  <c r="K483" i="2"/>
  <c r="J483" i="2"/>
  <c r="K482" i="2"/>
  <c r="J482" i="2"/>
  <c r="K481" i="2"/>
  <c r="J481" i="2"/>
  <c r="K480" i="2"/>
  <c r="J480" i="2"/>
  <c r="K479" i="2"/>
  <c r="J479" i="2"/>
  <c r="K478" i="2"/>
  <c r="J478" i="2"/>
  <c r="K477" i="2"/>
  <c r="J477" i="2"/>
  <c r="K476" i="2"/>
  <c r="J476" i="2"/>
  <c r="K475" i="2"/>
  <c r="J475" i="2"/>
  <c r="K474" i="2"/>
  <c r="J474" i="2"/>
  <c r="K473" i="2"/>
  <c r="J473" i="2"/>
  <c r="K472" i="2"/>
  <c r="J472" i="2"/>
  <c r="K471" i="2"/>
  <c r="J471" i="2"/>
  <c r="K470" i="2"/>
  <c r="J470" i="2"/>
  <c r="K469" i="2"/>
  <c r="J469" i="2"/>
  <c r="K468" i="2"/>
  <c r="J468" i="2"/>
  <c r="K467" i="2"/>
  <c r="J467" i="2"/>
  <c r="K466" i="2"/>
  <c r="J466" i="2"/>
  <c r="K465" i="2"/>
  <c r="J465" i="2"/>
  <c r="K464" i="2"/>
  <c r="J464" i="2"/>
  <c r="K463" i="2"/>
  <c r="J463" i="2"/>
  <c r="K462" i="2"/>
  <c r="J462" i="2"/>
  <c r="K461" i="2"/>
  <c r="J461" i="2"/>
  <c r="K460" i="2"/>
  <c r="J460" i="2"/>
  <c r="K459" i="2"/>
  <c r="J459" i="2"/>
  <c r="K458" i="2"/>
  <c r="J458" i="2"/>
  <c r="K457" i="2"/>
  <c r="J457" i="2"/>
  <c r="K456" i="2"/>
  <c r="J456" i="2"/>
  <c r="K455" i="2"/>
  <c r="J455" i="2"/>
  <c r="K454" i="2"/>
  <c r="J454" i="2"/>
  <c r="K453" i="2"/>
  <c r="J453" i="2"/>
  <c r="K452" i="2"/>
  <c r="J452" i="2"/>
  <c r="K451" i="2"/>
  <c r="J451" i="2"/>
  <c r="K450" i="2"/>
  <c r="J450" i="2"/>
  <c r="K449" i="2"/>
  <c r="J449" i="2"/>
  <c r="K448" i="2"/>
  <c r="J448" i="2"/>
  <c r="K447" i="2"/>
  <c r="J447" i="2"/>
  <c r="K446" i="2"/>
  <c r="J446" i="2"/>
  <c r="K445" i="2"/>
  <c r="J445" i="2"/>
  <c r="K444" i="2"/>
  <c r="J444" i="2"/>
  <c r="K443" i="2"/>
  <c r="J443" i="2"/>
  <c r="K442" i="2"/>
  <c r="J442" i="2"/>
  <c r="K441" i="2"/>
  <c r="J441" i="2"/>
  <c r="K440" i="2"/>
  <c r="J440" i="2"/>
  <c r="K439" i="2"/>
  <c r="J439" i="2"/>
  <c r="K438" i="2"/>
  <c r="J438" i="2"/>
  <c r="K437" i="2"/>
  <c r="J437" i="2"/>
  <c r="K436" i="2"/>
  <c r="J436" i="2"/>
  <c r="K435" i="2"/>
  <c r="J435" i="2"/>
  <c r="K434" i="2"/>
  <c r="J434" i="2"/>
  <c r="K433" i="2"/>
  <c r="J433" i="2"/>
  <c r="K432" i="2"/>
  <c r="J432" i="2"/>
  <c r="K431" i="2"/>
  <c r="J431" i="2"/>
  <c r="K430" i="2"/>
  <c r="J430" i="2"/>
  <c r="K429" i="2"/>
  <c r="J429" i="2"/>
  <c r="K428" i="2"/>
  <c r="J428" i="2"/>
  <c r="K427" i="2"/>
  <c r="J427" i="2"/>
  <c r="K426" i="2"/>
  <c r="J426" i="2"/>
  <c r="K425" i="2"/>
  <c r="J425" i="2"/>
  <c r="K424" i="2"/>
  <c r="J424" i="2"/>
  <c r="K423" i="2"/>
  <c r="J423" i="2"/>
  <c r="K422" i="2"/>
  <c r="J422" i="2"/>
  <c r="K421" i="2"/>
  <c r="J421" i="2"/>
  <c r="K420" i="2"/>
  <c r="J420" i="2"/>
  <c r="K419" i="2"/>
  <c r="J419" i="2"/>
  <c r="K418" i="2"/>
  <c r="J418" i="2"/>
  <c r="K417" i="2"/>
  <c r="J417" i="2"/>
  <c r="K416" i="2"/>
  <c r="J416" i="2"/>
  <c r="K415" i="2"/>
  <c r="J415" i="2"/>
  <c r="K414" i="2"/>
  <c r="J414" i="2"/>
  <c r="K413" i="2"/>
  <c r="J413" i="2"/>
  <c r="K412" i="2"/>
  <c r="J412" i="2"/>
  <c r="K411" i="2"/>
  <c r="J411" i="2"/>
  <c r="K410" i="2"/>
  <c r="J410" i="2"/>
  <c r="K409" i="2"/>
  <c r="J409" i="2"/>
  <c r="K408" i="2"/>
  <c r="J408" i="2"/>
  <c r="K407" i="2"/>
  <c r="J407" i="2"/>
  <c r="K406" i="2"/>
  <c r="J406" i="2"/>
  <c r="K405" i="2"/>
  <c r="J405" i="2"/>
  <c r="K404" i="2"/>
  <c r="J404" i="2"/>
  <c r="K403" i="2"/>
  <c r="J403" i="2"/>
  <c r="K402" i="2"/>
  <c r="J402" i="2"/>
  <c r="K401" i="2"/>
  <c r="J401" i="2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J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J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J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J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J276" i="2"/>
  <c r="K275" i="2"/>
  <c r="J275" i="2"/>
  <c r="K274" i="2"/>
  <c r="J274" i="2"/>
  <c r="K273" i="2"/>
  <c r="J273" i="2"/>
  <c r="K272" i="2"/>
  <c r="J272" i="2"/>
  <c r="K271" i="2"/>
  <c r="J271" i="2"/>
  <c r="K270" i="2"/>
  <c r="J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60" i="2"/>
  <c r="J260" i="2"/>
  <c r="K259" i="2"/>
  <c r="J259" i="2"/>
  <c r="K258" i="2"/>
  <c r="J258" i="2"/>
  <c r="K257" i="2"/>
  <c r="J257" i="2"/>
  <c r="K256" i="2"/>
  <c r="J256" i="2"/>
  <c r="K255" i="2"/>
  <c r="J255" i="2"/>
  <c r="K254" i="2"/>
  <c r="J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J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J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J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J212" i="2"/>
  <c r="K211" i="2"/>
  <c r="J211" i="2"/>
  <c r="K210" i="2"/>
  <c r="J210" i="2"/>
  <c r="K209" i="2"/>
  <c r="J209" i="2"/>
  <c r="K208" i="2"/>
  <c r="J208" i="2"/>
  <c r="K207" i="2"/>
  <c r="J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J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J183" i="2"/>
  <c r="K182" i="2"/>
  <c r="J182" i="2"/>
  <c r="K181" i="2"/>
  <c r="J181" i="2"/>
  <c r="K180" i="2"/>
  <c r="J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J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J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J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J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J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J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J2" i="17"/>
  <c r="K2" i="17"/>
  <c r="J3" i="17"/>
  <c r="K3" i="17"/>
  <c r="J4" i="17"/>
  <c r="K4" i="17"/>
  <c r="J5" i="17"/>
  <c r="K5" i="17"/>
  <c r="J6" i="17"/>
  <c r="K6" i="17"/>
  <c r="J7" i="17"/>
  <c r="K7" i="17"/>
  <c r="J8" i="17"/>
  <c r="K8" i="17"/>
  <c r="J9" i="17"/>
  <c r="K9" i="17"/>
  <c r="J10" i="17"/>
  <c r="K10" i="17"/>
  <c r="J11" i="17"/>
  <c r="K11" i="17"/>
  <c r="J12" i="17"/>
  <c r="K12" i="17"/>
  <c r="J13" i="17"/>
  <c r="K13" i="17"/>
  <c r="J14" i="17"/>
  <c r="K14" i="17"/>
  <c r="J15" i="17"/>
  <c r="K15" i="17"/>
  <c r="J16" i="17"/>
  <c r="K16" i="17"/>
  <c r="J17" i="17"/>
  <c r="K17" i="17"/>
  <c r="J18" i="17"/>
  <c r="K18" i="17"/>
  <c r="J19" i="17"/>
  <c r="K19" i="17"/>
  <c r="J20" i="17"/>
  <c r="K20" i="17"/>
  <c r="J21" i="17"/>
  <c r="K21" i="17"/>
  <c r="J22" i="17"/>
  <c r="K22" i="17"/>
  <c r="J23" i="17"/>
  <c r="K23" i="17"/>
  <c r="J24" i="17"/>
  <c r="K24" i="17"/>
  <c r="J25" i="17"/>
  <c r="K25" i="17"/>
  <c r="J26" i="17"/>
  <c r="K26" i="17"/>
  <c r="J27" i="17"/>
  <c r="K27" i="17"/>
  <c r="J28" i="17"/>
  <c r="K28" i="17"/>
  <c r="J29" i="17"/>
  <c r="K29" i="17"/>
  <c r="J30" i="17"/>
  <c r="K30" i="17"/>
  <c r="J31" i="17"/>
  <c r="K31" i="17"/>
  <c r="J32" i="17"/>
  <c r="K32" i="17"/>
  <c r="J33" i="17"/>
  <c r="K33" i="17"/>
  <c r="J34" i="17"/>
  <c r="K34" i="17"/>
  <c r="J35" i="17"/>
  <c r="K35" i="17"/>
  <c r="J36" i="17"/>
  <c r="K36" i="17"/>
  <c r="J37" i="17"/>
  <c r="K37" i="17"/>
  <c r="J38" i="17"/>
  <c r="K38" i="17"/>
  <c r="J39" i="17"/>
  <c r="K39" i="17"/>
  <c r="J40" i="17"/>
  <c r="K40" i="17"/>
  <c r="J41" i="17"/>
  <c r="K41" i="17"/>
  <c r="J42" i="17"/>
  <c r="K42" i="17"/>
  <c r="J43" i="17"/>
  <c r="K43" i="17"/>
  <c r="J44" i="17"/>
  <c r="K44" i="17"/>
  <c r="J45" i="17"/>
  <c r="K45" i="17"/>
  <c r="J46" i="17"/>
  <c r="K46" i="17"/>
  <c r="J47" i="17"/>
  <c r="K47" i="17"/>
  <c r="J48" i="17"/>
  <c r="K48" i="17"/>
  <c r="J49" i="17"/>
  <c r="K49" i="17"/>
  <c r="J50" i="17"/>
  <c r="K50" i="17"/>
  <c r="J51" i="17"/>
  <c r="K51" i="17"/>
  <c r="J52" i="17"/>
  <c r="K52" i="17"/>
  <c r="J53" i="17"/>
  <c r="K53" i="17"/>
  <c r="J54" i="17"/>
  <c r="K54" i="17"/>
  <c r="J55" i="17"/>
  <c r="K55" i="17"/>
  <c r="J56" i="17"/>
  <c r="K56" i="17"/>
  <c r="J57" i="17"/>
  <c r="K57" i="17"/>
  <c r="J58" i="17"/>
  <c r="K58" i="17"/>
  <c r="J59" i="17"/>
  <c r="K59" i="17"/>
  <c r="J60" i="17"/>
  <c r="K60" i="17"/>
  <c r="J61" i="17"/>
  <c r="K61" i="17"/>
  <c r="J62" i="17"/>
  <c r="K62" i="17"/>
  <c r="J63" i="17"/>
  <c r="K63" i="17"/>
  <c r="J64" i="17"/>
  <c r="K64" i="17"/>
  <c r="J65" i="17"/>
  <c r="K65" i="17"/>
  <c r="J66" i="17"/>
  <c r="K66" i="17"/>
  <c r="J67" i="17"/>
  <c r="K67" i="17"/>
  <c r="J68" i="17"/>
  <c r="K68" i="17"/>
  <c r="J69" i="17"/>
  <c r="K69" i="17"/>
  <c r="J70" i="17"/>
  <c r="K70" i="17"/>
  <c r="J71" i="17"/>
  <c r="K71" i="17"/>
  <c r="J72" i="17"/>
  <c r="K72" i="17"/>
  <c r="J73" i="17"/>
  <c r="K73" i="17"/>
  <c r="J74" i="17"/>
  <c r="K74" i="17"/>
  <c r="J75" i="17"/>
  <c r="K75" i="17"/>
  <c r="J76" i="17"/>
  <c r="K76" i="17"/>
  <c r="J77" i="17"/>
  <c r="K77" i="17"/>
  <c r="J78" i="17"/>
  <c r="K78" i="17"/>
  <c r="J79" i="17"/>
  <c r="K79" i="17"/>
  <c r="J80" i="17"/>
  <c r="K80" i="17"/>
  <c r="J81" i="17"/>
  <c r="K81" i="17"/>
  <c r="J82" i="17"/>
  <c r="K82" i="17"/>
  <c r="J83" i="17"/>
  <c r="K83" i="17"/>
  <c r="J84" i="17"/>
  <c r="K84" i="17"/>
  <c r="J85" i="17"/>
  <c r="K85" i="17"/>
  <c r="J86" i="17"/>
  <c r="K86" i="17"/>
  <c r="J87" i="17"/>
  <c r="K87" i="17"/>
  <c r="J88" i="17"/>
  <c r="K88" i="17"/>
  <c r="J89" i="17"/>
  <c r="K89" i="17"/>
  <c r="J90" i="17"/>
  <c r="K90" i="17"/>
  <c r="J91" i="17"/>
  <c r="K91" i="17"/>
  <c r="J92" i="17"/>
  <c r="K92" i="17"/>
  <c r="J93" i="17"/>
  <c r="K93" i="17"/>
  <c r="J94" i="17"/>
  <c r="K94" i="17"/>
  <c r="J95" i="17"/>
  <c r="K95" i="17"/>
  <c r="J96" i="17"/>
  <c r="K96" i="17"/>
  <c r="J97" i="17"/>
  <c r="K97" i="17"/>
  <c r="J98" i="17"/>
  <c r="K98" i="17"/>
  <c r="J99" i="17"/>
  <c r="K99" i="17"/>
  <c r="J100" i="17"/>
  <c r="K100" i="17"/>
  <c r="J101" i="17"/>
  <c r="K101" i="17"/>
  <c r="J102" i="17"/>
  <c r="K102" i="17"/>
  <c r="J103" i="17"/>
  <c r="K103" i="17"/>
  <c r="J104" i="17"/>
  <c r="K104" i="17"/>
  <c r="J105" i="17"/>
  <c r="K105" i="17"/>
  <c r="J106" i="17"/>
  <c r="K106" i="17"/>
  <c r="J107" i="17"/>
  <c r="K107" i="17"/>
  <c r="J108" i="17"/>
  <c r="K108" i="17"/>
  <c r="J109" i="17"/>
  <c r="K109" i="17"/>
  <c r="J110" i="17"/>
  <c r="K110" i="17"/>
  <c r="J111" i="17"/>
  <c r="K111" i="17"/>
  <c r="J112" i="17"/>
  <c r="K112" i="17"/>
  <c r="J113" i="17"/>
  <c r="K113" i="17"/>
  <c r="J114" i="17"/>
  <c r="K114" i="17"/>
  <c r="J115" i="17"/>
  <c r="K115" i="17"/>
  <c r="J116" i="17"/>
  <c r="K116" i="17"/>
  <c r="J117" i="17"/>
  <c r="K117" i="17"/>
  <c r="J118" i="17"/>
  <c r="K118" i="17"/>
  <c r="J119" i="17"/>
  <c r="K119" i="17"/>
  <c r="J120" i="17"/>
  <c r="K120" i="17"/>
  <c r="J121" i="17"/>
  <c r="K121" i="17"/>
  <c r="J122" i="17"/>
  <c r="K122" i="17"/>
  <c r="J123" i="17"/>
  <c r="K123" i="17"/>
  <c r="J124" i="17"/>
  <c r="K124" i="17"/>
  <c r="J125" i="17"/>
  <c r="K125" i="17"/>
  <c r="J126" i="17"/>
  <c r="K126" i="17"/>
  <c r="J127" i="17"/>
  <c r="K127" i="17"/>
  <c r="J128" i="17"/>
  <c r="K128" i="17"/>
  <c r="J129" i="17"/>
  <c r="K129" i="17"/>
  <c r="J130" i="17"/>
  <c r="K130" i="17"/>
  <c r="J131" i="17"/>
  <c r="K131" i="17"/>
  <c r="J132" i="17"/>
  <c r="K132" i="17"/>
  <c r="J133" i="17"/>
  <c r="K133" i="17"/>
  <c r="J134" i="17"/>
  <c r="K134" i="17"/>
  <c r="J135" i="17"/>
  <c r="K135" i="17"/>
  <c r="J136" i="17"/>
  <c r="K136" i="17"/>
  <c r="J137" i="17"/>
  <c r="K137" i="17"/>
  <c r="J138" i="17"/>
  <c r="K138" i="17"/>
  <c r="J139" i="17"/>
  <c r="K139" i="17"/>
  <c r="J140" i="17"/>
  <c r="K140" i="17"/>
  <c r="J141" i="17"/>
  <c r="K141" i="17"/>
  <c r="J142" i="17"/>
  <c r="K142" i="17"/>
  <c r="J143" i="17"/>
  <c r="K143" i="17"/>
  <c r="J144" i="17"/>
  <c r="K144" i="17"/>
  <c r="J145" i="17"/>
  <c r="K145" i="17"/>
  <c r="J146" i="17"/>
  <c r="K146" i="17"/>
  <c r="J147" i="17"/>
  <c r="K147" i="17"/>
  <c r="J148" i="17"/>
  <c r="K148" i="17"/>
  <c r="J149" i="17"/>
  <c r="K149" i="17"/>
  <c r="J150" i="17"/>
  <c r="K150" i="17"/>
  <c r="J151" i="17"/>
  <c r="K151" i="17"/>
  <c r="J152" i="17"/>
  <c r="K152" i="17"/>
  <c r="J153" i="17"/>
  <c r="K153" i="17"/>
  <c r="J154" i="17"/>
  <c r="K154" i="17"/>
  <c r="J155" i="17"/>
  <c r="K155" i="17"/>
  <c r="J156" i="17"/>
  <c r="K156" i="17"/>
  <c r="J157" i="17"/>
  <c r="K157" i="17"/>
  <c r="J158" i="17"/>
  <c r="K158" i="17"/>
  <c r="J159" i="17"/>
  <c r="K159" i="17"/>
  <c r="J160" i="17"/>
  <c r="K160" i="17"/>
  <c r="J161" i="17"/>
  <c r="K161" i="17"/>
  <c r="J162" i="17"/>
  <c r="K162" i="17"/>
  <c r="J163" i="17"/>
  <c r="K163" i="17"/>
  <c r="J164" i="17"/>
  <c r="K164" i="17"/>
  <c r="J165" i="17"/>
  <c r="K165" i="17"/>
  <c r="J166" i="17"/>
  <c r="K166" i="17"/>
  <c r="J167" i="17"/>
  <c r="K167" i="17"/>
  <c r="J168" i="17"/>
  <c r="K168" i="17"/>
  <c r="J169" i="17"/>
  <c r="K169" i="17"/>
  <c r="J170" i="17"/>
  <c r="K170" i="17"/>
  <c r="J171" i="17"/>
  <c r="K171" i="17"/>
  <c r="J172" i="17"/>
  <c r="K172" i="17"/>
  <c r="J173" i="17"/>
  <c r="K173" i="17"/>
  <c r="J174" i="17"/>
  <c r="K174" i="17"/>
  <c r="J175" i="17"/>
  <c r="K175" i="17"/>
  <c r="J176" i="17"/>
  <c r="K176" i="17"/>
  <c r="J177" i="17"/>
  <c r="K177" i="17"/>
  <c r="J178" i="17"/>
  <c r="K178" i="17"/>
  <c r="J179" i="17"/>
  <c r="K179" i="17"/>
  <c r="J180" i="17"/>
  <c r="K180" i="17"/>
  <c r="J181" i="17"/>
  <c r="K181" i="17"/>
  <c r="J182" i="17"/>
  <c r="K182" i="17"/>
  <c r="J183" i="17"/>
  <c r="K183" i="17"/>
  <c r="J184" i="17"/>
  <c r="K184" i="17"/>
  <c r="J185" i="17"/>
  <c r="K185" i="17"/>
  <c r="J186" i="17"/>
  <c r="K186" i="17"/>
  <c r="J187" i="17"/>
  <c r="K187" i="17"/>
  <c r="J188" i="17"/>
  <c r="K188" i="17"/>
  <c r="J189" i="17"/>
  <c r="K189" i="17"/>
  <c r="J190" i="17"/>
  <c r="K190" i="17"/>
  <c r="J191" i="17"/>
  <c r="K191" i="17"/>
  <c r="J192" i="17"/>
  <c r="K192" i="17"/>
  <c r="J193" i="17"/>
  <c r="K193" i="17"/>
  <c r="J194" i="17"/>
  <c r="K194" i="17"/>
  <c r="J195" i="17"/>
  <c r="K195" i="17"/>
  <c r="J196" i="17"/>
  <c r="K196" i="17"/>
  <c r="J197" i="17"/>
  <c r="K197" i="17"/>
  <c r="J198" i="17"/>
  <c r="K198" i="17"/>
  <c r="J199" i="17"/>
  <c r="K199" i="17"/>
  <c r="J200" i="17"/>
  <c r="K200" i="17"/>
  <c r="J201" i="17"/>
  <c r="K201" i="17"/>
  <c r="J202" i="17"/>
  <c r="K202" i="17"/>
  <c r="J203" i="17"/>
  <c r="K203" i="17"/>
  <c r="J204" i="17"/>
  <c r="K204" i="17"/>
  <c r="J205" i="17"/>
  <c r="K205" i="17"/>
  <c r="J206" i="17"/>
  <c r="K206" i="17"/>
  <c r="J207" i="17"/>
  <c r="K207" i="17"/>
  <c r="J208" i="17"/>
  <c r="K208" i="17"/>
  <c r="J209" i="17"/>
  <c r="K209" i="17"/>
  <c r="J210" i="17"/>
  <c r="K210" i="17"/>
  <c r="J211" i="17"/>
  <c r="K211" i="17"/>
  <c r="J212" i="17"/>
  <c r="K212" i="17"/>
  <c r="J213" i="17"/>
  <c r="K213" i="17"/>
  <c r="J214" i="17"/>
  <c r="K214" i="17"/>
  <c r="J215" i="17"/>
  <c r="K215" i="17"/>
  <c r="J216" i="17"/>
  <c r="K216" i="17"/>
  <c r="J217" i="17"/>
  <c r="K217" i="17"/>
  <c r="J218" i="17"/>
  <c r="K218" i="17"/>
  <c r="J219" i="17"/>
  <c r="K219" i="17"/>
  <c r="J220" i="17"/>
  <c r="K220" i="17"/>
  <c r="J221" i="17"/>
  <c r="K221" i="17"/>
  <c r="J222" i="17"/>
  <c r="K222" i="17"/>
  <c r="J223" i="17"/>
  <c r="K223" i="17"/>
  <c r="J224" i="17"/>
  <c r="K224" i="17"/>
  <c r="J225" i="17"/>
  <c r="K225" i="17"/>
  <c r="J226" i="17"/>
  <c r="K226" i="17"/>
  <c r="J227" i="17"/>
  <c r="K227" i="17"/>
  <c r="J228" i="17"/>
  <c r="K228" i="17"/>
  <c r="J229" i="17"/>
  <c r="K229" i="17"/>
  <c r="J230" i="17"/>
  <c r="K230" i="17"/>
  <c r="J231" i="17"/>
  <c r="K231" i="17"/>
  <c r="J232" i="17"/>
  <c r="K232" i="17"/>
  <c r="J233" i="17"/>
  <c r="K233" i="17"/>
  <c r="J234" i="17"/>
  <c r="K234" i="17"/>
  <c r="J235" i="17"/>
  <c r="K235" i="17"/>
  <c r="J236" i="17"/>
  <c r="K236" i="17"/>
  <c r="J237" i="17"/>
  <c r="K237" i="17"/>
  <c r="J238" i="17"/>
  <c r="K238" i="17"/>
  <c r="J239" i="17"/>
  <c r="K239" i="17"/>
  <c r="J240" i="17"/>
  <c r="K240" i="17"/>
  <c r="J241" i="17"/>
  <c r="K241" i="17"/>
  <c r="J242" i="17"/>
  <c r="K242" i="17"/>
  <c r="J243" i="17"/>
  <c r="K243" i="17"/>
  <c r="J244" i="17"/>
  <c r="K244" i="17"/>
  <c r="J245" i="17"/>
  <c r="K245" i="17"/>
  <c r="J246" i="17"/>
  <c r="K246" i="17"/>
  <c r="J247" i="17"/>
  <c r="K247" i="17"/>
  <c r="J248" i="17"/>
  <c r="K248" i="17"/>
  <c r="J249" i="17"/>
  <c r="K249" i="17"/>
  <c r="J250" i="17"/>
  <c r="K250" i="17"/>
  <c r="J251" i="17"/>
  <c r="K251" i="17"/>
  <c r="J252" i="17"/>
  <c r="K252" i="17"/>
  <c r="J253" i="17"/>
  <c r="K253" i="17"/>
  <c r="J254" i="17"/>
  <c r="K254" i="17"/>
  <c r="J255" i="17"/>
  <c r="K255" i="17"/>
  <c r="J256" i="17"/>
  <c r="K256" i="17"/>
  <c r="J257" i="17"/>
  <c r="K257" i="17"/>
  <c r="J258" i="17"/>
  <c r="K258" i="17"/>
  <c r="J259" i="17"/>
  <c r="K259" i="17"/>
  <c r="J260" i="17"/>
  <c r="K260" i="17"/>
  <c r="J261" i="17"/>
  <c r="K261" i="17"/>
  <c r="J262" i="17"/>
  <c r="K262" i="17"/>
  <c r="J263" i="17"/>
  <c r="K263" i="17"/>
  <c r="J264" i="17"/>
  <c r="K264" i="17"/>
  <c r="J265" i="17"/>
  <c r="K265" i="17"/>
  <c r="J266" i="17"/>
  <c r="K266" i="17"/>
  <c r="J267" i="17"/>
  <c r="K267" i="17"/>
  <c r="J268" i="17"/>
  <c r="K268" i="17"/>
  <c r="J269" i="17"/>
  <c r="K269" i="17"/>
  <c r="J270" i="17"/>
  <c r="K270" i="17"/>
  <c r="J271" i="17"/>
  <c r="K271" i="17"/>
  <c r="J272" i="17"/>
  <c r="K272" i="17"/>
  <c r="J273" i="17"/>
  <c r="K273" i="17"/>
  <c r="J274" i="17"/>
  <c r="K274" i="17"/>
  <c r="J275" i="17"/>
  <c r="K275" i="17"/>
  <c r="J276" i="17"/>
  <c r="K276" i="17"/>
  <c r="J277" i="17"/>
  <c r="K277" i="17"/>
  <c r="J278" i="17"/>
  <c r="K278" i="17"/>
  <c r="J279" i="17"/>
  <c r="K279" i="17"/>
  <c r="J280" i="17"/>
  <c r="K280" i="17"/>
  <c r="J281" i="17"/>
  <c r="K281" i="17"/>
  <c r="J282" i="17"/>
  <c r="K282" i="17"/>
  <c r="J283" i="17"/>
  <c r="K283" i="17"/>
  <c r="J284" i="17"/>
  <c r="K284" i="17"/>
  <c r="J285" i="17"/>
  <c r="K285" i="17"/>
  <c r="J286" i="17"/>
  <c r="K286" i="17"/>
  <c r="J287" i="17"/>
  <c r="K287" i="17"/>
  <c r="J288" i="17"/>
  <c r="K288" i="17"/>
  <c r="J289" i="17"/>
  <c r="K289" i="17"/>
  <c r="J290" i="17"/>
  <c r="K290" i="17"/>
  <c r="J291" i="17"/>
  <c r="K291" i="17"/>
  <c r="J292" i="17"/>
  <c r="K292" i="17"/>
  <c r="J293" i="17"/>
  <c r="K293" i="17"/>
  <c r="J294" i="17"/>
  <c r="K294" i="17"/>
  <c r="J295" i="17"/>
  <c r="K295" i="17"/>
  <c r="J296" i="17"/>
  <c r="K296" i="17"/>
  <c r="J297" i="17"/>
  <c r="K297" i="17"/>
  <c r="J298" i="17"/>
  <c r="K298" i="17"/>
  <c r="J299" i="17"/>
  <c r="K299" i="17"/>
  <c r="J300" i="17"/>
  <c r="K300" i="17"/>
  <c r="J301" i="17"/>
  <c r="K301" i="17"/>
  <c r="J302" i="17"/>
  <c r="K302" i="17"/>
  <c r="J303" i="17"/>
  <c r="K303" i="17"/>
  <c r="J304" i="17"/>
  <c r="K304" i="17"/>
  <c r="J305" i="17"/>
  <c r="K305" i="17"/>
  <c r="J306" i="17"/>
  <c r="K306" i="17"/>
  <c r="J307" i="17"/>
  <c r="K307" i="17"/>
  <c r="J308" i="17"/>
  <c r="K308" i="17"/>
  <c r="J309" i="17"/>
  <c r="K309" i="17"/>
  <c r="J310" i="17"/>
  <c r="K310" i="17"/>
  <c r="J311" i="17"/>
  <c r="K311" i="17"/>
  <c r="J312" i="17"/>
  <c r="K312" i="17"/>
  <c r="J313" i="17"/>
  <c r="K313" i="17"/>
  <c r="J314" i="17"/>
  <c r="K314" i="17"/>
  <c r="J315" i="17"/>
  <c r="K315" i="17"/>
  <c r="J316" i="17"/>
  <c r="K316" i="17"/>
  <c r="J317" i="17"/>
  <c r="K317" i="17"/>
  <c r="J318" i="17"/>
  <c r="K318" i="17"/>
  <c r="J319" i="17"/>
  <c r="K319" i="17"/>
  <c r="J320" i="17"/>
  <c r="K320" i="17"/>
  <c r="J321" i="17"/>
  <c r="K321" i="17"/>
  <c r="J322" i="17"/>
  <c r="K322" i="17"/>
  <c r="J323" i="17"/>
  <c r="K323" i="17"/>
  <c r="J324" i="17"/>
  <c r="K324" i="17"/>
  <c r="J325" i="17"/>
  <c r="K325" i="17"/>
  <c r="J326" i="17"/>
  <c r="K326" i="17"/>
  <c r="J327" i="17"/>
  <c r="K327" i="17"/>
  <c r="J328" i="17"/>
  <c r="K328" i="17"/>
  <c r="J329" i="17"/>
  <c r="K329" i="17"/>
  <c r="J330" i="17"/>
  <c r="K330" i="17"/>
  <c r="J331" i="17"/>
  <c r="K331" i="17"/>
  <c r="J332" i="17"/>
  <c r="K332" i="17"/>
  <c r="J333" i="17"/>
  <c r="K333" i="17"/>
  <c r="J334" i="17"/>
  <c r="K334" i="17"/>
  <c r="J335" i="17"/>
  <c r="K335" i="17"/>
  <c r="J336" i="17"/>
  <c r="K336" i="17"/>
  <c r="J337" i="17"/>
  <c r="K337" i="17"/>
  <c r="J338" i="17"/>
  <c r="K338" i="17"/>
  <c r="J339" i="17"/>
  <c r="K339" i="17"/>
  <c r="J340" i="17"/>
  <c r="K340" i="17"/>
  <c r="J341" i="17"/>
  <c r="K341" i="17"/>
  <c r="J342" i="17"/>
  <c r="K342" i="17"/>
  <c r="J343" i="17"/>
  <c r="K343" i="17"/>
  <c r="J344" i="17"/>
  <c r="K344" i="17"/>
  <c r="J345" i="17"/>
  <c r="K345" i="17"/>
  <c r="J346" i="17"/>
  <c r="K346" i="17"/>
  <c r="J347" i="17"/>
  <c r="K347" i="17"/>
  <c r="J348" i="17"/>
  <c r="K348" i="17"/>
  <c r="J349" i="17"/>
  <c r="K349" i="17"/>
  <c r="J350" i="17"/>
  <c r="K350" i="17"/>
  <c r="J351" i="17"/>
  <c r="K351" i="17"/>
  <c r="J352" i="17"/>
  <c r="K352" i="17"/>
  <c r="J353" i="17"/>
  <c r="K353" i="17"/>
  <c r="J354" i="17"/>
  <c r="K354" i="17"/>
  <c r="J355" i="17"/>
  <c r="K355" i="17"/>
  <c r="J356" i="17"/>
  <c r="K356" i="17"/>
  <c r="J357" i="17"/>
  <c r="K357" i="17"/>
  <c r="J358" i="17"/>
  <c r="K358" i="17"/>
  <c r="J359" i="17"/>
  <c r="K359" i="17"/>
  <c r="J360" i="17"/>
  <c r="K360" i="17"/>
  <c r="J361" i="17"/>
  <c r="K361" i="17"/>
  <c r="J362" i="17"/>
  <c r="K362" i="17"/>
  <c r="J363" i="17"/>
  <c r="K363" i="17"/>
  <c r="J364" i="17"/>
  <c r="K364" i="17"/>
  <c r="J365" i="17"/>
  <c r="K365" i="17"/>
  <c r="J366" i="17"/>
  <c r="K366" i="17"/>
  <c r="J367" i="17"/>
  <c r="K367" i="17"/>
  <c r="J368" i="17"/>
  <c r="K368" i="17"/>
  <c r="J369" i="17"/>
  <c r="K369" i="17"/>
  <c r="J370" i="17"/>
  <c r="K370" i="17"/>
  <c r="J371" i="17"/>
  <c r="K371" i="17"/>
  <c r="J372" i="17"/>
  <c r="K372" i="17"/>
  <c r="J373" i="17"/>
  <c r="K373" i="17"/>
  <c r="J374" i="17"/>
  <c r="K374" i="17"/>
  <c r="J375" i="17"/>
  <c r="K375" i="17"/>
  <c r="J376" i="17"/>
  <c r="K376" i="17"/>
  <c r="J377" i="17"/>
  <c r="K377" i="17"/>
  <c r="J378" i="17"/>
  <c r="K378" i="17"/>
  <c r="J379" i="17"/>
  <c r="K379" i="17"/>
  <c r="J380" i="17"/>
  <c r="K380" i="17"/>
  <c r="J381" i="17"/>
  <c r="K381" i="17"/>
  <c r="J382" i="17"/>
  <c r="K382" i="17"/>
  <c r="J383" i="17"/>
  <c r="K383" i="17"/>
  <c r="J384" i="17"/>
  <c r="K384" i="17"/>
  <c r="J385" i="17"/>
  <c r="K385" i="17"/>
  <c r="J386" i="17"/>
  <c r="K386" i="17"/>
  <c r="J387" i="17"/>
  <c r="K387" i="17"/>
  <c r="J388" i="17"/>
  <c r="K388" i="17"/>
  <c r="J389" i="17"/>
  <c r="K389" i="17"/>
  <c r="J390" i="17"/>
  <c r="K390" i="17"/>
  <c r="J391" i="17"/>
  <c r="K391" i="17"/>
  <c r="J392" i="17"/>
  <c r="K392" i="17"/>
  <c r="J393" i="17"/>
  <c r="K393" i="17"/>
  <c r="J394" i="17"/>
  <c r="K394" i="17"/>
  <c r="J395" i="17"/>
  <c r="K395" i="17"/>
  <c r="J396" i="17"/>
  <c r="K396" i="17"/>
  <c r="J397" i="17"/>
  <c r="K397" i="17"/>
  <c r="J398" i="17"/>
  <c r="K398" i="17"/>
  <c r="J399" i="17"/>
  <c r="K399" i="17"/>
  <c r="J400" i="17"/>
  <c r="K400" i="17"/>
  <c r="J401" i="17"/>
  <c r="K401" i="17"/>
  <c r="J402" i="17"/>
  <c r="K402" i="17"/>
  <c r="J403" i="17"/>
  <c r="K403" i="17"/>
  <c r="J404" i="17"/>
  <c r="K404" i="17"/>
  <c r="J405" i="17"/>
  <c r="K405" i="17"/>
  <c r="J406" i="17"/>
  <c r="K406" i="17"/>
  <c r="J407" i="17"/>
  <c r="K407" i="17"/>
  <c r="J408" i="17"/>
  <c r="K408" i="17"/>
  <c r="J409" i="17"/>
  <c r="K409" i="17"/>
  <c r="J410" i="17"/>
  <c r="K410" i="17"/>
  <c r="J411" i="17"/>
  <c r="K411" i="17"/>
  <c r="J412" i="17"/>
  <c r="K412" i="17"/>
  <c r="J413" i="17"/>
  <c r="K413" i="17"/>
  <c r="J414" i="17"/>
  <c r="K414" i="17"/>
  <c r="J415" i="17"/>
  <c r="K415" i="17"/>
  <c r="J416" i="17"/>
  <c r="K416" i="17"/>
  <c r="J417" i="17"/>
  <c r="K417" i="17"/>
  <c r="J418" i="17"/>
  <c r="K418" i="17"/>
  <c r="J419" i="17"/>
  <c r="K419" i="17"/>
  <c r="J420" i="17"/>
  <c r="K420" i="17"/>
  <c r="J421" i="17"/>
  <c r="K421" i="17"/>
  <c r="J422" i="17"/>
  <c r="K422" i="17"/>
  <c r="J423" i="17"/>
  <c r="K423" i="17"/>
  <c r="J424" i="17"/>
  <c r="K424" i="17"/>
  <c r="J425" i="17"/>
  <c r="K425" i="17"/>
  <c r="J426" i="17"/>
  <c r="K426" i="17"/>
  <c r="J427" i="17"/>
  <c r="K427" i="17"/>
  <c r="J428" i="17"/>
  <c r="K428" i="17"/>
  <c r="J429" i="17"/>
  <c r="K429" i="17"/>
  <c r="J430" i="17"/>
  <c r="K430" i="17"/>
  <c r="J431" i="17"/>
  <c r="K431" i="17"/>
  <c r="J432" i="17"/>
  <c r="K432" i="17"/>
  <c r="J433" i="17"/>
  <c r="K433" i="17"/>
  <c r="J434" i="17"/>
  <c r="K434" i="17"/>
  <c r="J435" i="17"/>
  <c r="K435" i="17"/>
  <c r="J436" i="17"/>
  <c r="K436" i="17"/>
  <c r="J437" i="17"/>
  <c r="K437" i="17"/>
  <c r="J438" i="17"/>
  <c r="K438" i="17"/>
  <c r="J439" i="17"/>
  <c r="K439" i="17"/>
  <c r="J440" i="17"/>
  <c r="K440" i="17"/>
  <c r="J441" i="17"/>
  <c r="K441" i="17"/>
  <c r="J442" i="17"/>
  <c r="K442" i="17"/>
  <c r="J443" i="17"/>
  <c r="K443" i="17"/>
  <c r="J444" i="17"/>
  <c r="K444" i="17"/>
  <c r="J445" i="17"/>
  <c r="K445" i="17"/>
  <c r="J446" i="17"/>
  <c r="K446" i="17"/>
  <c r="J447" i="17"/>
  <c r="K447" i="17"/>
  <c r="J448" i="17"/>
  <c r="K448" i="17"/>
  <c r="J449" i="17"/>
  <c r="K449" i="17"/>
  <c r="J450" i="17"/>
  <c r="K450" i="17"/>
  <c r="J451" i="17"/>
  <c r="K451" i="17"/>
  <c r="J452" i="17"/>
  <c r="K452" i="17"/>
  <c r="J453" i="17"/>
  <c r="K453" i="17"/>
  <c r="J454" i="17"/>
  <c r="K454" i="17"/>
  <c r="J455" i="17"/>
  <c r="K455" i="17"/>
  <c r="J456" i="17"/>
  <c r="K456" i="17"/>
  <c r="J457" i="17"/>
  <c r="K457" i="17"/>
  <c r="J458" i="17"/>
  <c r="K458" i="17"/>
  <c r="J459" i="17"/>
  <c r="K459" i="17"/>
  <c r="J460" i="17"/>
  <c r="K460" i="17"/>
  <c r="J461" i="17"/>
  <c r="K461" i="17"/>
  <c r="J462" i="17"/>
  <c r="K462" i="17"/>
  <c r="J463" i="17"/>
  <c r="K463" i="17"/>
  <c r="J464" i="17"/>
  <c r="K464" i="17"/>
  <c r="J465" i="17"/>
  <c r="K465" i="17"/>
  <c r="J466" i="17"/>
  <c r="K466" i="17"/>
  <c r="J467" i="17"/>
  <c r="K467" i="17"/>
  <c r="J468" i="17"/>
  <c r="K468" i="17"/>
  <c r="J469" i="17"/>
  <c r="K469" i="17"/>
  <c r="J470" i="17"/>
  <c r="K470" i="17"/>
  <c r="J471" i="17"/>
  <c r="K471" i="17"/>
  <c r="J472" i="17"/>
  <c r="K472" i="17"/>
  <c r="J473" i="17"/>
  <c r="K473" i="17"/>
  <c r="J474" i="17"/>
  <c r="K474" i="17"/>
  <c r="J475" i="17"/>
  <c r="K475" i="17"/>
  <c r="J476" i="17"/>
  <c r="K476" i="17"/>
  <c r="J477" i="17"/>
  <c r="K477" i="17"/>
  <c r="J478" i="17"/>
  <c r="K478" i="17"/>
  <c r="J479" i="17"/>
  <c r="K479" i="17"/>
  <c r="J480" i="17"/>
  <c r="K480" i="17"/>
  <c r="J481" i="17"/>
  <c r="K481" i="17"/>
  <c r="J482" i="17"/>
  <c r="K482" i="17"/>
  <c r="J483" i="17"/>
  <c r="K483" i="17"/>
  <c r="J484" i="17"/>
  <c r="K484" i="17"/>
  <c r="J485" i="17"/>
  <c r="K485" i="17"/>
  <c r="J486" i="17"/>
  <c r="K486" i="17"/>
  <c r="J487" i="17"/>
  <c r="K487" i="17"/>
  <c r="J488" i="17"/>
  <c r="K488" i="17"/>
  <c r="J489" i="17"/>
  <c r="K489" i="17"/>
  <c r="J490" i="17"/>
  <c r="K490" i="17"/>
  <c r="J491" i="17"/>
  <c r="K491" i="17"/>
  <c r="J492" i="17"/>
  <c r="K492" i="17"/>
  <c r="J493" i="17"/>
  <c r="K493" i="17"/>
  <c r="J494" i="17"/>
  <c r="K494" i="17"/>
  <c r="J495" i="17"/>
  <c r="K495" i="17"/>
  <c r="J496" i="17"/>
  <c r="K496" i="17"/>
  <c r="J497" i="17"/>
  <c r="K497" i="17"/>
  <c r="J498" i="17"/>
  <c r="K498" i="17"/>
  <c r="J499" i="17"/>
  <c r="K499" i="17"/>
  <c r="J500" i="17"/>
  <c r="K500" i="17"/>
  <c r="J501" i="17"/>
  <c r="K501" i="17"/>
  <c r="J502" i="17"/>
  <c r="K502" i="17"/>
  <c r="J503" i="17"/>
  <c r="K503" i="17"/>
  <c r="J504" i="17"/>
  <c r="K504" i="17"/>
  <c r="J505" i="17"/>
  <c r="K505" i="17"/>
  <c r="J506" i="17"/>
  <c r="K506" i="17"/>
  <c r="J507" i="17"/>
  <c r="K507" i="17"/>
  <c r="J508" i="17"/>
  <c r="K508" i="17"/>
  <c r="J509" i="17"/>
  <c r="K509" i="17"/>
  <c r="J510" i="17"/>
  <c r="K510" i="17"/>
  <c r="J511" i="17"/>
  <c r="K511" i="17"/>
  <c r="J512" i="17"/>
  <c r="K512" i="17"/>
  <c r="J513" i="17"/>
  <c r="K513" i="17"/>
  <c r="J514" i="17"/>
  <c r="K514" i="17"/>
  <c r="J515" i="17"/>
  <c r="K515" i="17"/>
  <c r="J516" i="17"/>
  <c r="K516" i="17"/>
  <c r="J517" i="17"/>
  <c r="K517" i="17"/>
  <c r="J518" i="17"/>
  <c r="K518" i="17"/>
  <c r="J519" i="17"/>
  <c r="K519" i="17"/>
  <c r="J520" i="17"/>
  <c r="K520" i="17"/>
  <c r="J521" i="17"/>
  <c r="K521" i="17"/>
  <c r="J522" i="17"/>
  <c r="K522" i="17"/>
  <c r="J523" i="17"/>
  <c r="K523" i="17"/>
  <c r="J524" i="17"/>
  <c r="K524" i="17"/>
  <c r="J525" i="17"/>
  <c r="K525" i="17"/>
  <c r="J526" i="17"/>
  <c r="K526" i="17"/>
  <c r="J527" i="17"/>
  <c r="K527" i="17"/>
  <c r="J528" i="17"/>
  <c r="K528" i="17"/>
  <c r="J529" i="17"/>
  <c r="K529" i="17"/>
  <c r="J530" i="17"/>
  <c r="K530" i="17"/>
  <c r="J531" i="17"/>
  <c r="K531" i="17"/>
  <c r="J532" i="17"/>
  <c r="K532" i="17"/>
  <c r="J533" i="17"/>
  <c r="K533" i="17"/>
  <c r="J534" i="17"/>
  <c r="K534" i="17"/>
  <c r="J535" i="17"/>
  <c r="K535" i="17"/>
  <c r="J536" i="17"/>
  <c r="K536" i="17"/>
  <c r="J537" i="17"/>
  <c r="K537" i="17"/>
  <c r="J538" i="17"/>
  <c r="K538" i="17"/>
  <c r="J539" i="17"/>
  <c r="K539" i="17"/>
  <c r="J540" i="17"/>
  <c r="K540" i="17"/>
  <c r="J541" i="17"/>
  <c r="K541" i="17"/>
  <c r="J542" i="17"/>
  <c r="K542" i="17"/>
  <c r="J543" i="17"/>
  <c r="K543" i="17"/>
  <c r="J544" i="17"/>
  <c r="K544" i="17"/>
  <c r="J545" i="17"/>
  <c r="K545" i="17"/>
  <c r="J546" i="17"/>
  <c r="K546" i="17"/>
  <c r="J547" i="17"/>
  <c r="K547" i="17"/>
  <c r="J548" i="17"/>
  <c r="K548" i="17"/>
  <c r="J549" i="17"/>
  <c r="K549" i="17"/>
  <c r="J550" i="17"/>
  <c r="K550" i="17"/>
  <c r="J551" i="17"/>
  <c r="K551" i="17"/>
  <c r="J552" i="17"/>
  <c r="K552" i="17"/>
  <c r="J553" i="17"/>
  <c r="K553" i="17"/>
  <c r="J554" i="17"/>
  <c r="K554" i="17"/>
  <c r="J555" i="17"/>
  <c r="K555" i="17"/>
  <c r="J556" i="17"/>
  <c r="K556" i="17"/>
  <c r="J557" i="17"/>
  <c r="K557" i="17"/>
  <c r="J558" i="17"/>
  <c r="K558" i="17"/>
  <c r="J559" i="17"/>
  <c r="K559" i="17"/>
  <c r="J560" i="17"/>
  <c r="K560" i="17"/>
  <c r="J561" i="17"/>
  <c r="K561" i="17"/>
  <c r="J562" i="17"/>
  <c r="K562" i="17"/>
  <c r="J563" i="17"/>
  <c r="K563" i="17"/>
  <c r="J564" i="17"/>
  <c r="K564" i="17"/>
  <c r="J565" i="17"/>
  <c r="K565" i="17"/>
  <c r="J566" i="17"/>
  <c r="K566" i="17"/>
  <c r="J567" i="17"/>
  <c r="K567" i="17"/>
  <c r="J568" i="17"/>
  <c r="K568" i="17"/>
  <c r="J569" i="17"/>
  <c r="K569" i="17"/>
  <c r="J570" i="17"/>
  <c r="K570" i="17"/>
  <c r="J571" i="17"/>
  <c r="K571" i="17"/>
  <c r="J572" i="17"/>
  <c r="K572" i="17"/>
  <c r="J573" i="17"/>
  <c r="K573" i="17"/>
  <c r="J574" i="17"/>
  <c r="K574" i="17"/>
  <c r="J575" i="17"/>
  <c r="K575" i="17"/>
  <c r="J576" i="17"/>
  <c r="K576" i="17"/>
  <c r="J577" i="17"/>
  <c r="K577" i="17"/>
  <c r="J578" i="17"/>
  <c r="K578" i="17"/>
  <c r="J579" i="17"/>
  <c r="K579" i="17"/>
  <c r="J580" i="17"/>
  <c r="K580" i="17"/>
  <c r="J581" i="17"/>
  <c r="K581" i="17"/>
  <c r="J582" i="17"/>
  <c r="K582" i="17"/>
  <c r="J583" i="17"/>
  <c r="K583" i="17"/>
  <c r="J584" i="17"/>
  <c r="K584" i="17"/>
  <c r="J585" i="17"/>
  <c r="K585" i="17"/>
  <c r="J586" i="17"/>
  <c r="K586" i="17"/>
  <c r="J587" i="17"/>
  <c r="K587" i="17"/>
  <c r="J588" i="17"/>
  <c r="K588" i="17"/>
  <c r="J589" i="17"/>
  <c r="K589" i="17"/>
  <c r="J590" i="17"/>
  <c r="K590" i="17"/>
  <c r="J591" i="17"/>
  <c r="K591" i="17"/>
  <c r="J592" i="17"/>
  <c r="K592" i="17"/>
  <c r="J593" i="17"/>
  <c r="K593" i="17"/>
  <c r="J594" i="17"/>
  <c r="K594" i="17"/>
  <c r="J595" i="17"/>
  <c r="K595" i="17"/>
  <c r="J596" i="17"/>
  <c r="K596" i="17"/>
  <c r="J597" i="17"/>
  <c r="K597" i="17"/>
  <c r="J598" i="17"/>
  <c r="K598" i="17"/>
  <c r="J599" i="17"/>
  <c r="K599" i="17"/>
  <c r="J600" i="17"/>
  <c r="K600" i="17"/>
  <c r="J601" i="17"/>
  <c r="K601" i="17"/>
  <c r="J602" i="17"/>
  <c r="K602" i="17"/>
  <c r="J603" i="17"/>
  <c r="K603" i="17"/>
  <c r="J604" i="17"/>
  <c r="K604" i="17"/>
  <c r="J605" i="17"/>
  <c r="K605" i="17"/>
  <c r="J606" i="17"/>
  <c r="K606" i="17"/>
  <c r="J607" i="17"/>
  <c r="K607" i="17"/>
  <c r="J608" i="17"/>
  <c r="K608" i="17"/>
  <c r="J609" i="17"/>
  <c r="K609" i="17"/>
  <c r="J610" i="17"/>
  <c r="K610" i="17"/>
  <c r="J611" i="17"/>
  <c r="K611" i="17"/>
  <c r="J612" i="17"/>
  <c r="K612" i="17"/>
  <c r="J613" i="17"/>
  <c r="K613" i="17"/>
  <c r="J614" i="17"/>
  <c r="K614" i="17"/>
  <c r="J615" i="17"/>
  <c r="K615" i="17"/>
  <c r="J616" i="17"/>
  <c r="K616" i="17"/>
  <c r="J617" i="17"/>
  <c r="K617" i="17"/>
  <c r="J618" i="17"/>
  <c r="K618" i="17"/>
  <c r="J619" i="17"/>
  <c r="K619" i="17"/>
  <c r="J620" i="17"/>
  <c r="K620" i="17"/>
  <c r="J621" i="17"/>
  <c r="K621" i="17"/>
  <c r="J622" i="17"/>
  <c r="K622" i="17"/>
  <c r="J623" i="17"/>
  <c r="K623" i="17"/>
  <c r="J624" i="17"/>
  <c r="K624" i="17"/>
  <c r="J625" i="17"/>
  <c r="K625" i="17"/>
  <c r="J626" i="17"/>
  <c r="K626" i="17"/>
  <c r="J627" i="17"/>
  <c r="K627" i="17"/>
  <c r="J628" i="17"/>
  <c r="K628" i="17"/>
  <c r="J629" i="17"/>
  <c r="K629" i="17"/>
  <c r="J630" i="17"/>
  <c r="K630" i="17"/>
  <c r="J631" i="17"/>
  <c r="K631" i="17"/>
  <c r="J632" i="17"/>
  <c r="K632" i="17"/>
  <c r="J633" i="17"/>
  <c r="K633" i="17"/>
  <c r="J634" i="17"/>
  <c r="K634" i="17"/>
  <c r="J635" i="17"/>
  <c r="K635" i="17"/>
  <c r="J636" i="17"/>
  <c r="K636" i="17"/>
  <c r="J637" i="17"/>
  <c r="K637" i="17"/>
  <c r="J638" i="17"/>
  <c r="K638" i="17"/>
  <c r="J639" i="17"/>
  <c r="K639" i="17"/>
  <c r="J640" i="17"/>
  <c r="K640" i="17"/>
  <c r="J641" i="17"/>
  <c r="K641" i="17"/>
  <c r="J642" i="17"/>
  <c r="K642" i="17"/>
  <c r="J643" i="17"/>
  <c r="K643" i="17"/>
  <c r="J644" i="17"/>
  <c r="K644" i="17"/>
  <c r="J645" i="17"/>
  <c r="K645" i="17"/>
  <c r="J646" i="17"/>
  <c r="K646" i="17"/>
  <c r="J647" i="17"/>
  <c r="K647" i="17"/>
  <c r="J648" i="17"/>
  <c r="K648" i="17"/>
  <c r="J649" i="17"/>
  <c r="K649" i="17"/>
  <c r="J650" i="17"/>
  <c r="K650" i="17"/>
  <c r="J651" i="17"/>
  <c r="K651" i="17"/>
  <c r="J652" i="17"/>
  <c r="K652" i="17"/>
  <c r="J653" i="17"/>
  <c r="K653" i="17"/>
  <c r="J654" i="17"/>
  <c r="K654" i="17"/>
  <c r="J655" i="17"/>
  <c r="K655" i="17"/>
  <c r="J656" i="17"/>
  <c r="K656" i="17"/>
  <c r="J657" i="17"/>
  <c r="K657" i="17"/>
  <c r="J658" i="17"/>
  <c r="K658" i="17"/>
  <c r="J659" i="17"/>
  <c r="K659" i="17"/>
  <c r="J660" i="17"/>
  <c r="K660" i="17"/>
  <c r="J661" i="17"/>
  <c r="K661" i="17"/>
  <c r="J662" i="17"/>
  <c r="K662" i="17"/>
  <c r="J663" i="17"/>
  <c r="K663" i="17"/>
  <c r="J664" i="17"/>
  <c r="K664" i="17"/>
  <c r="J665" i="17"/>
  <c r="K665" i="17"/>
  <c r="J666" i="17"/>
  <c r="K666" i="17"/>
  <c r="J667" i="17"/>
  <c r="K667" i="17"/>
  <c r="J668" i="17"/>
  <c r="K668" i="17"/>
  <c r="J669" i="17"/>
  <c r="K669" i="17"/>
  <c r="J670" i="17"/>
  <c r="K670" i="17"/>
  <c r="J671" i="17"/>
  <c r="K671" i="17"/>
  <c r="J672" i="17"/>
  <c r="K672" i="17"/>
  <c r="J673" i="17"/>
  <c r="K673" i="17"/>
  <c r="J674" i="17"/>
  <c r="K674" i="17"/>
  <c r="J675" i="17"/>
  <c r="K675" i="17"/>
  <c r="J676" i="17"/>
  <c r="K676" i="17"/>
  <c r="J677" i="17"/>
  <c r="K677" i="17"/>
  <c r="J678" i="17"/>
  <c r="K678" i="17"/>
  <c r="J679" i="17"/>
  <c r="K679" i="17"/>
  <c r="J680" i="17"/>
  <c r="K680" i="17"/>
  <c r="J681" i="17"/>
  <c r="K681" i="17"/>
  <c r="J682" i="17"/>
  <c r="K682" i="17"/>
  <c r="J683" i="17"/>
  <c r="K683" i="17"/>
  <c r="J684" i="17"/>
  <c r="K684" i="17"/>
  <c r="J685" i="17"/>
  <c r="K685" i="17"/>
  <c r="J686" i="17"/>
  <c r="K686" i="17"/>
  <c r="J687" i="17"/>
  <c r="K687" i="17"/>
  <c r="J688" i="17"/>
  <c r="K688" i="17"/>
  <c r="J689" i="17"/>
  <c r="K689" i="17"/>
  <c r="J690" i="17"/>
  <c r="K690" i="17"/>
  <c r="J691" i="17"/>
  <c r="K691" i="17"/>
  <c r="J692" i="17"/>
  <c r="K692" i="17"/>
  <c r="J693" i="17"/>
  <c r="K693" i="17"/>
  <c r="J694" i="17"/>
  <c r="K694" i="17"/>
  <c r="J695" i="17"/>
  <c r="K695" i="17"/>
  <c r="J696" i="17"/>
  <c r="K696" i="17"/>
  <c r="J697" i="17"/>
  <c r="K697" i="17"/>
  <c r="J698" i="17"/>
  <c r="K698" i="17"/>
  <c r="J699" i="17"/>
  <c r="K699" i="17"/>
  <c r="J700" i="17"/>
  <c r="K700" i="17"/>
  <c r="J701" i="17"/>
  <c r="K701" i="17"/>
  <c r="J702" i="17"/>
  <c r="K702" i="17"/>
  <c r="J703" i="17"/>
  <c r="K703" i="17"/>
  <c r="J704" i="17"/>
  <c r="K704" i="17"/>
  <c r="J705" i="17"/>
  <c r="K705" i="17"/>
  <c r="J706" i="17"/>
  <c r="K706" i="17"/>
  <c r="J707" i="17"/>
  <c r="K707" i="17"/>
  <c r="J708" i="17"/>
  <c r="K708" i="17"/>
  <c r="J709" i="17"/>
  <c r="K709" i="17"/>
  <c r="J710" i="17"/>
  <c r="K710" i="17"/>
  <c r="J711" i="17"/>
  <c r="K711" i="17"/>
  <c r="J712" i="17"/>
  <c r="K712" i="17"/>
  <c r="J713" i="17"/>
  <c r="K713" i="17"/>
  <c r="J714" i="17"/>
  <c r="K714" i="17"/>
  <c r="J715" i="17"/>
  <c r="K715" i="17"/>
  <c r="J716" i="17"/>
  <c r="K716" i="17"/>
  <c r="J717" i="17"/>
  <c r="K717" i="17"/>
  <c r="J718" i="17"/>
  <c r="K718" i="17"/>
  <c r="J719" i="17"/>
  <c r="K719" i="17"/>
  <c r="J720" i="17"/>
  <c r="K720" i="17"/>
  <c r="J721" i="17"/>
  <c r="K721" i="17"/>
  <c r="J722" i="17"/>
  <c r="K722" i="17"/>
  <c r="J723" i="17"/>
  <c r="K723" i="17"/>
  <c r="J724" i="17"/>
  <c r="K724" i="17"/>
  <c r="J725" i="17"/>
  <c r="K725" i="17"/>
  <c r="J726" i="17"/>
  <c r="K726" i="17"/>
  <c r="J727" i="17"/>
  <c r="K727" i="17"/>
  <c r="J728" i="17"/>
  <c r="K728" i="17"/>
  <c r="J729" i="17"/>
  <c r="K729" i="17"/>
  <c r="J730" i="17"/>
  <c r="K730" i="17"/>
  <c r="J731" i="17"/>
  <c r="K731" i="17"/>
  <c r="J732" i="17"/>
  <c r="K732" i="17"/>
  <c r="J733" i="17"/>
  <c r="K733" i="17"/>
  <c r="J734" i="17"/>
  <c r="K734" i="17"/>
  <c r="J735" i="17"/>
  <c r="K735" i="17"/>
  <c r="J736" i="17"/>
  <c r="K736" i="17"/>
  <c r="J737" i="17"/>
  <c r="K737" i="17"/>
  <c r="J738" i="17"/>
  <c r="K738" i="17"/>
  <c r="J739" i="17"/>
  <c r="K739" i="17"/>
  <c r="J740" i="17"/>
  <c r="K740" i="17"/>
  <c r="J741" i="17"/>
  <c r="K741" i="17"/>
  <c r="J742" i="17"/>
  <c r="K742" i="17"/>
  <c r="J743" i="17"/>
  <c r="K743" i="17"/>
  <c r="J744" i="17"/>
  <c r="K744" i="17"/>
  <c r="J745" i="17"/>
  <c r="K745" i="17"/>
  <c r="J746" i="17"/>
  <c r="K746" i="17"/>
  <c r="J747" i="17"/>
  <c r="K747" i="17"/>
  <c r="J748" i="17"/>
  <c r="K748" i="17"/>
  <c r="J749" i="17"/>
  <c r="K749" i="17"/>
  <c r="J750" i="17"/>
  <c r="K750" i="17"/>
  <c r="J751" i="17"/>
  <c r="K751" i="17"/>
  <c r="J752" i="17"/>
  <c r="K752" i="17"/>
  <c r="J753" i="17"/>
  <c r="K753" i="17"/>
  <c r="J754" i="17"/>
  <c r="K754" i="17"/>
  <c r="J755" i="17"/>
  <c r="K755" i="17"/>
  <c r="J756" i="17"/>
  <c r="K756" i="17"/>
  <c r="J757" i="17"/>
  <c r="K757" i="17"/>
  <c r="J758" i="17"/>
  <c r="K758" i="17"/>
  <c r="J759" i="17"/>
  <c r="K759" i="17"/>
  <c r="J760" i="17"/>
  <c r="K760" i="17"/>
  <c r="J761" i="17"/>
  <c r="K761" i="17"/>
  <c r="J762" i="17"/>
  <c r="K762" i="17"/>
  <c r="J763" i="17"/>
  <c r="K763" i="17"/>
  <c r="J764" i="17"/>
  <c r="K764" i="17"/>
  <c r="J765" i="17"/>
  <c r="K765" i="17"/>
  <c r="J766" i="17"/>
  <c r="K766" i="17"/>
  <c r="J767" i="17"/>
  <c r="K767" i="17"/>
  <c r="J768" i="17"/>
  <c r="K768" i="17"/>
  <c r="J769" i="17"/>
  <c r="K769" i="17"/>
  <c r="J770" i="17"/>
  <c r="K770" i="17"/>
  <c r="J771" i="17"/>
  <c r="K771" i="17"/>
  <c r="J772" i="17"/>
  <c r="K772" i="17"/>
  <c r="J773" i="17"/>
  <c r="K773" i="17"/>
  <c r="J774" i="17"/>
  <c r="K774" i="17"/>
  <c r="J775" i="17"/>
  <c r="K775" i="17"/>
  <c r="J776" i="17"/>
  <c r="K776" i="17"/>
  <c r="J777" i="17"/>
  <c r="K777" i="17"/>
  <c r="J778" i="17"/>
  <c r="K778" i="17"/>
  <c r="J779" i="17"/>
  <c r="K779" i="17"/>
  <c r="J780" i="17"/>
  <c r="K780" i="17"/>
  <c r="J781" i="17"/>
  <c r="K781" i="17"/>
  <c r="J782" i="17"/>
  <c r="K782" i="17"/>
  <c r="J783" i="17"/>
  <c r="K783" i="17"/>
  <c r="J784" i="17"/>
  <c r="K784" i="17"/>
  <c r="J785" i="17"/>
  <c r="K785" i="17"/>
  <c r="J786" i="17"/>
  <c r="K786" i="17"/>
  <c r="J787" i="17"/>
  <c r="K787" i="17"/>
  <c r="J788" i="17"/>
  <c r="K788" i="17"/>
  <c r="J789" i="17"/>
  <c r="K789" i="17"/>
  <c r="J790" i="17"/>
  <c r="K790" i="17"/>
  <c r="J791" i="17"/>
  <c r="K791" i="17"/>
  <c r="J792" i="17"/>
  <c r="K792" i="17"/>
  <c r="J793" i="17"/>
  <c r="K793" i="17"/>
  <c r="J794" i="17"/>
  <c r="K794" i="17"/>
  <c r="J795" i="17"/>
  <c r="K795" i="17"/>
  <c r="J796" i="17"/>
  <c r="K796" i="17"/>
  <c r="J797" i="17"/>
  <c r="K797" i="17"/>
  <c r="J798" i="17"/>
  <c r="K798" i="17"/>
  <c r="J799" i="17"/>
  <c r="K799" i="17"/>
  <c r="J800" i="17"/>
  <c r="K800" i="17"/>
  <c r="J801" i="17"/>
  <c r="K801" i="17"/>
  <c r="J802" i="17"/>
  <c r="K802" i="17"/>
  <c r="J803" i="17"/>
  <c r="K803" i="17"/>
  <c r="J804" i="17"/>
  <c r="K804" i="17"/>
  <c r="J805" i="17"/>
  <c r="K805" i="17"/>
  <c r="J806" i="17"/>
  <c r="K806" i="17"/>
  <c r="J807" i="17"/>
  <c r="K807" i="17"/>
  <c r="J808" i="17"/>
  <c r="K808" i="17"/>
  <c r="J809" i="17"/>
  <c r="K809" i="17"/>
  <c r="J810" i="17"/>
  <c r="K810" i="17"/>
  <c r="J811" i="17"/>
  <c r="K811" i="17"/>
  <c r="J812" i="17"/>
  <c r="K812" i="17"/>
  <c r="J813" i="17"/>
  <c r="K813" i="17"/>
  <c r="J814" i="17"/>
  <c r="K814" i="17"/>
  <c r="J815" i="17"/>
  <c r="K815" i="17"/>
  <c r="J816" i="17"/>
  <c r="K816" i="17"/>
  <c r="J817" i="17"/>
  <c r="K817" i="17"/>
  <c r="J818" i="17"/>
  <c r="K818" i="17"/>
  <c r="J819" i="17"/>
  <c r="K819" i="17"/>
  <c r="J820" i="17"/>
  <c r="K820" i="17"/>
  <c r="J821" i="17"/>
  <c r="K821" i="17"/>
  <c r="J822" i="17"/>
  <c r="K822" i="17"/>
  <c r="J823" i="17"/>
  <c r="K823" i="17"/>
  <c r="J824" i="17"/>
  <c r="K824" i="17"/>
  <c r="J825" i="17"/>
  <c r="K825" i="17"/>
  <c r="J826" i="17"/>
  <c r="K826" i="17"/>
  <c r="J827" i="17"/>
  <c r="K827" i="17"/>
  <c r="J828" i="17"/>
  <c r="K828" i="17"/>
  <c r="J829" i="17"/>
  <c r="K829" i="17"/>
  <c r="J830" i="17"/>
  <c r="K830" i="17"/>
  <c r="J831" i="17"/>
  <c r="K831" i="17"/>
  <c r="J832" i="17"/>
  <c r="K832" i="17"/>
  <c r="J833" i="17"/>
  <c r="K833" i="17"/>
  <c r="J834" i="17"/>
  <c r="K834" i="17"/>
  <c r="J835" i="17"/>
  <c r="K835" i="17"/>
  <c r="J836" i="17"/>
  <c r="K836" i="17"/>
  <c r="J837" i="17"/>
  <c r="K837" i="17"/>
  <c r="J838" i="17"/>
  <c r="K838" i="17"/>
  <c r="J839" i="17"/>
  <c r="K839" i="17"/>
  <c r="J840" i="17"/>
  <c r="K840" i="17"/>
  <c r="J841" i="17"/>
  <c r="K841" i="17"/>
  <c r="J842" i="17"/>
  <c r="K842" i="17"/>
  <c r="J843" i="17"/>
  <c r="K843" i="17"/>
  <c r="J844" i="17"/>
  <c r="K844" i="17"/>
  <c r="J845" i="17"/>
  <c r="K845" i="17"/>
  <c r="J846" i="17"/>
  <c r="K846" i="17"/>
  <c r="J847" i="17"/>
  <c r="K847" i="17"/>
  <c r="J848" i="17"/>
  <c r="K848" i="17"/>
  <c r="J849" i="17"/>
  <c r="K849" i="17"/>
  <c r="J850" i="17"/>
  <c r="K850" i="17"/>
  <c r="J851" i="17"/>
  <c r="K851" i="17"/>
  <c r="J852" i="17"/>
  <c r="K852" i="17"/>
  <c r="J853" i="17"/>
  <c r="K853" i="17"/>
  <c r="J854" i="17"/>
  <c r="K854" i="17"/>
  <c r="J855" i="17"/>
  <c r="K855" i="17"/>
  <c r="J856" i="17"/>
  <c r="K856" i="17"/>
  <c r="J857" i="17"/>
  <c r="K857" i="17"/>
  <c r="J858" i="17"/>
  <c r="K858" i="17"/>
  <c r="J859" i="17"/>
  <c r="K859" i="17"/>
  <c r="J860" i="17"/>
  <c r="K860" i="17"/>
  <c r="J861" i="17"/>
  <c r="K861" i="17"/>
  <c r="J862" i="17"/>
  <c r="K862" i="17"/>
  <c r="J863" i="17"/>
  <c r="K863" i="17"/>
  <c r="J864" i="17"/>
  <c r="K864" i="17"/>
  <c r="J865" i="17"/>
  <c r="K865" i="17"/>
  <c r="J866" i="17"/>
  <c r="K866" i="17"/>
  <c r="J867" i="17"/>
  <c r="K867" i="17"/>
  <c r="J868" i="17"/>
  <c r="K868" i="17"/>
  <c r="J869" i="17"/>
  <c r="K869" i="17"/>
  <c r="J870" i="17"/>
  <c r="K870" i="17"/>
  <c r="J871" i="17"/>
  <c r="K871" i="17"/>
  <c r="J872" i="17"/>
  <c r="K872" i="17"/>
  <c r="J873" i="17"/>
  <c r="K873" i="17"/>
  <c r="J874" i="17"/>
  <c r="K874" i="17"/>
  <c r="J875" i="17"/>
  <c r="K875" i="17"/>
  <c r="J876" i="17"/>
  <c r="K876" i="17"/>
  <c r="J877" i="17"/>
  <c r="K877" i="17"/>
  <c r="J878" i="17"/>
  <c r="K878" i="17"/>
  <c r="J879" i="17"/>
  <c r="K879" i="17"/>
  <c r="J880" i="17"/>
  <c r="K880" i="17"/>
  <c r="J881" i="17"/>
  <c r="K881" i="17"/>
  <c r="J882" i="17"/>
  <c r="K882" i="17"/>
  <c r="J883" i="17"/>
  <c r="K883" i="17"/>
  <c r="J884" i="17"/>
  <c r="K884" i="17"/>
  <c r="J885" i="17"/>
  <c r="K885" i="17"/>
  <c r="J886" i="17"/>
  <c r="K886" i="17"/>
  <c r="J887" i="17"/>
  <c r="K887" i="17"/>
  <c r="J888" i="17"/>
  <c r="K888" i="17"/>
  <c r="J889" i="17"/>
  <c r="K889" i="17"/>
  <c r="J890" i="17"/>
  <c r="K890" i="17"/>
  <c r="J891" i="17"/>
  <c r="K891" i="17"/>
  <c r="J892" i="17"/>
  <c r="K892" i="17"/>
  <c r="J893" i="17"/>
  <c r="K893" i="17"/>
  <c r="J894" i="17"/>
  <c r="K894" i="17"/>
  <c r="J895" i="17"/>
  <c r="K895" i="17"/>
  <c r="J896" i="17"/>
  <c r="K896" i="17"/>
  <c r="J897" i="17"/>
  <c r="K897" i="17"/>
  <c r="J898" i="17"/>
  <c r="K898" i="17"/>
  <c r="J899" i="17"/>
  <c r="K899" i="17"/>
  <c r="J900" i="17"/>
  <c r="K900" i="17"/>
  <c r="J901" i="17"/>
  <c r="K901" i="17"/>
  <c r="J902" i="17"/>
  <c r="K902" i="17"/>
  <c r="J903" i="17"/>
  <c r="K903" i="17"/>
  <c r="J904" i="17"/>
  <c r="K904" i="17"/>
  <c r="J905" i="17"/>
  <c r="K905" i="17"/>
  <c r="J906" i="17"/>
  <c r="K906" i="17"/>
  <c r="J907" i="17"/>
  <c r="K907" i="17"/>
  <c r="J908" i="17"/>
  <c r="K908" i="17"/>
  <c r="J909" i="17"/>
  <c r="K909" i="17"/>
  <c r="J910" i="17"/>
  <c r="K910" i="17"/>
  <c r="J911" i="17"/>
  <c r="K911" i="17"/>
  <c r="J912" i="17"/>
  <c r="K912" i="17"/>
  <c r="J913" i="17"/>
  <c r="K913" i="17"/>
  <c r="J914" i="17"/>
  <c r="K914" i="17"/>
  <c r="J915" i="17"/>
  <c r="K915" i="17"/>
  <c r="J916" i="17"/>
  <c r="K916" i="17"/>
  <c r="J917" i="17"/>
  <c r="K917" i="17"/>
  <c r="J918" i="17"/>
  <c r="K918" i="17"/>
  <c r="J919" i="17"/>
  <c r="K919" i="17"/>
  <c r="J920" i="17"/>
  <c r="K920" i="17"/>
  <c r="J921" i="17"/>
  <c r="K921" i="17"/>
  <c r="J922" i="17"/>
  <c r="K922" i="17"/>
  <c r="J923" i="17"/>
  <c r="K923" i="17"/>
  <c r="J924" i="17"/>
  <c r="K924" i="17"/>
  <c r="J925" i="17"/>
  <c r="K925" i="17"/>
  <c r="J926" i="17"/>
  <c r="K926" i="17"/>
  <c r="J927" i="17"/>
  <c r="K927" i="17"/>
  <c r="J928" i="17"/>
  <c r="K928" i="17"/>
  <c r="J929" i="17"/>
  <c r="K929" i="17"/>
  <c r="J930" i="17"/>
  <c r="K930" i="17"/>
  <c r="J931" i="17"/>
  <c r="K931" i="17"/>
  <c r="J932" i="17"/>
  <c r="K932" i="17"/>
  <c r="J933" i="17"/>
  <c r="K933" i="17"/>
  <c r="J934" i="17"/>
  <c r="K934" i="17"/>
  <c r="J935" i="17"/>
  <c r="K935" i="17"/>
  <c r="J936" i="17"/>
  <c r="K936" i="17"/>
  <c r="J937" i="17"/>
  <c r="K937" i="17"/>
  <c r="J938" i="17"/>
  <c r="K938" i="17"/>
  <c r="J939" i="17"/>
  <c r="K939" i="17"/>
  <c r="J940" i="17"/>
  <c r="K940" i="17"/>
  <c r="J941" i="17"/>
  <c r="K941" i="17"/>
  <c r="J942" i="17"/>
  <c r="K942" i="17"/>
  <c r="J943" i="17"/>
  <c r="K943" i="17"/>
  <c r="J944" i="17"/>
  <c r="K944" i="17"/>
  <c r="J945" i="17"/>
  <c r="K945" i="17"/>
  <c r="J946" i="17"/>
  <c r="K946" i="17"/>
  <c r="J947" i="17"/>
  <c r="K947" i="17"/>
  <c r="J948" i="17"/>
  <c r="K948" i="17"/>
  <c r="J949" i="17"/>
  <c r="K949" i="17"/>
  <c r="J950" i="17"/>
  <c r="K950" i="17"/>
  <c r="J951" i="17"/>
  <c r="K951" i="17"/>
  <c r="J952" i="17"/>
  <c r="K952" i="17"/>
  <c r="J953" i="17"/>
  <c r="K953" i="17"/>
  <c r="J954" i="17"/>
  <c r="K954" i="17"/>
  <c r="J955" i="17"/>
  <c r="K955" i="17"/>
  <c r="J956" i="17"/>
  <c r="K956" i="17"/>
  <c r="J957" i="17"/>
  <c r="K957" i="17"/>
  <c r="J958" i="17"/>
  <c r="K958" i="17"/>
  <c r="J959" i="17"/>
  <c r="K959" i="17"/>
  <c r="J960" i="17"/>
  <c r="K960" i="17"/>
  <c r="J961" i="17"/>
  <c r="K961" i="17"/>
  <c r="J962" i="17"/>
  <c r="K962" i="17"/>
  <c r="J963" i="17"/>
  <c r="K963" i="17"/>
  <c r="J964" i="17"/>
  <c r="K964" i="17"/>
  <c r="J965" i="17"/>
  <c r="K965" i="17"/>
  <c r="J966" i="17"/>
  <c r="K966" i="17"/>
  <c r="J967" i="17"/>
  <c r="K967" i="17"/>
  <c r="J968" i="17"/>
  <c r="K968" i="17"/>
  <c r="J969" i="17"/>
  <c r="K969" i="17"/>
  <c r="J970" i="17"/>
  <c r="K970" i="17"/>
  <c r="J971" i="17"/>
  <c r="K971" i="17"/>
  <c r="J972" i="17"/>
  <c r="K972" i="17"/>
  <c r="J973" i="17"/>
  <c r="K973" i="17"/>
  <c r="J974" i="17"/>
  <c r="K974" i="17"/>
  <c r="J975" i="17"/>
  <c r="K975" i="17"/>
  <c r="J976" i="17"/>
  <c r="K976" i="17"/>
  <c r="J977" i="17"/>
  <c r="K977" i="17"/>
  <c r="J978" i="17"/>
  <c r="K978" i="17"/>
  <c r="J979" i="17"/>
  <c r="K979" i="17"/>
  <c r="J980" i="17"/>
  <c r="K980" i="17"/>
  <c r="J981" i="17"/>
  <c r="K981" i="17"/>
  <c r="J982" i="17"/>
  <c r="K982" i="17"/>
  <c r="J983" i="17"/>
  <c r="K983" i="17"/>
  <c r="J984" i="17"/>
  <c r="K984" i="17"/>
  <c r="J985" i="17"/>
  <c r="K985" i="17"/>
  <c r="J986" i="17"/>
  <c r="K986" i="17"/>
  <c r="J987" i="17"/>
  <c r="K987" i="17"/>
  <c r="J988" i="17"/>
  <c r="K988" i="17"/>
  <c r="J989" i="17"/>
  <c r="K989" i="17"/>
  <c r="J990" i="17"/>
  <c r="K990" i="17"/>
  <c r="J991" i="17"/>
  <c r="K991" i="17"/>
  <c r="J992" i="17"/>
  <c r="K992" i="17"/>
  <c r="J993" i="17"/>
  <c r="K993" i="17"/>
  <c r="J994" i="17"/>
  <c r="K994" i="17"/>
  <c r="J995" i="17"/>
  <c r="K995" i="17"/>
  <c r="J996" i="17"/>
  <c r="K996" i="17"/>
  <c r="J997" i="17"/>
  <c r="K997" i="17"/>
  <c r="J998" i="17"/>
  <c r="K998" i="17"/>
  <c r="J999" i="17"/>
  <c r="K999" i="17"/>
  <c r="J1000" i="17"/>
  <c r="K1000" i="17"/>
  <c r="J1001" i="17"/>
  <c r="K1001" i="17"/>
  <c r="J1002" i="17"/>
  <c r="K1002" i="17"/>
  <c r="J1003" i="17"/>
  <c r="K1003" i="17"/>
  <c r="J1004" i="17"/>
  <c r="K1004" i="17"/>
  <c r="J1005" i="17"/>
  <c r="K1005" i="17"/>
  <c r="J1006" i="17"/>
  <c r="K1006" i="17"/>
  <c r="J1007" i="17"/>
  <c r="K1007" i="17"/>
  <c r="J1008" i="17"/>
  <c r="K1008" i="17"/>
  <c r="J1009" i="17"/>
  <c r="K1009" i="17"/>
  <c r="J1010" i="17"/>
  <c r="K1010" i="17"/>
  <c r="J1011" i="17"/>
  <c r="K1011" i="17"/>
  <c r="J1012" i="17"/>
  <c r="K1012" i="17"/>
  <c r="J1013" i="17"/>
  <c r="K1013" i="17"/>
  <c r="J1014" i="17"/>
  <c r="K1014" i="17"/>
  <c r="J1015" i="17"/>
  <c r="K1015" i="17"/>
  <c r="J1016" i="17"/>
  <c r="K1016" i="17"/>
  <c r="J1017" i="17"/>
  <c r="K1017" i="17"/>
  <c r="J1018" i="17"/>
  <c r="K1018" i="17"/>
  <c r="J1019" i="17"/>
  <c r="K1019" i="17"/>
  <c r="J1020" i="17"/>
  <c r="K1020" i="17"/>
  <c r="J1021" i="17"/>
  <c r="K1021" i="17"/>
  <c r="J1022" i="17"/>
  <c r="K1022" i="17"/>
  <c r="J1023" i="17"/>
  <c r="K1023" i="17"/>
  <c r="J1024" i="17"/>
  <c r="K1024" i="17"/>
  <c r="J1025" i="17"/>
  <c r="K1025" i="17"/>
  <c r="J1026" i="17"/>
  <c r="K1026" i="17"/>
  <c r="J1027" i="17"/>
  <c r="K1027" i="17"/>
  <c r="J1028" i="17"/>
  <c r="K1028" i="17"/>
  <c r="J1029" i="17"/>
  <c r="K1029" i="17"/>
  <c r="J1030" i="17"/>
  <c r="K1030" i="17"/>
  <c r="J1031" i="17"/>
  <c r="K1031" i="17"/>
  <c r="J1032" i="17"/>
  <c r="K1032" i="17"/>
  <c r="J1033" i="17"/>
  <c r="K1033" i="17"/>
  <c r="J1034" i="17"/>
  <c r="K1034" i="17"/>
  <c r="J1035" i="17"/>
  <c r="K1035" i="17"/>
  <c r="J1036" i="17"/>
  <c r="K1036" i="17"/>
  <c r="J1037" i="17"/>
  <c r="K1037" i="17"/>
  <c r="J1038" i="17"/>
  <c r="K1038" i="17"/>
  <c r="J1039" i="17"/>
  <c r="K1039" i="17"/>
  <c r="J1040" i="17"/>
  <c r="K1040" i="17"/>
  <c r="J1041" i="17"/>
  <c r="K1041" i="17"/>
  <c r="J1042" i="17"/>
  <c r="K1042" i="17"/>
  <c r="J1043" i="17"/>
  <c r="K1043" i="17"/>
  <c r="J1044" i="17"/>
  <c r="K1044" i="17"/>
  <c r="J1045" i="17"/>
  <c r="K1045" i="17"/>
  <c r="J1046" i="17"/>
  <c r="K1046" i="17"/>
  <c r="J1047" i="17"/>
  <c r="K1047" i="17"/>
  <c r="J1048" i="17"/>
  <c r="K1048" i="17"/>
  <c r="J1049" i="17"/>
  <c r="K1049" i="17"/>
  <c r="J1050" i="17"/>
  <c r="K1050" i="17"/>
  <c r="J1051" i="17"/>
  <c r="K1051" i="17"/>
  <c r="J1052" i="17"/>
  <c r="K1052" i="17"/>
  <c r="J1053" i="17"/>
  <c r="K1053" i="17"/>
  <c r="J1054" i="17"/>
  <c r="K1054" i="17"/>
  <c r="J1055" i="17"/>
  <c r="K1055" i="17"/>
  <c r="J1056" i="17"/>
  <c r="K1056" i="17"/>
  <c r="J1057" i="17"/>
  <c r="K1057" i="17"/>
  <c r="J1058" i="17"/>
  <c r="K1058" i="17"/>
  <c r="J1059" i="17"/>
  <c r="K1059" i="17"/>
  <c r="J1060" i="17"/>
  <c r="K1060" i="17"/>
  <c r="J1061" i="17"/>
  <c r="K1061" i="17"/>
  <c r="J1062" i="17"/>
  <c r="K1062" i="17"/>
  <c r="J1063" i="17"/>
  <c r="K1063" i="17"/>
  <c r="J1064" i="17"/>
  <c r="K1064" i="17"/>
  <c r="J1065" i="17"/>
  <c r="K1065" i="17"/>
  <c r="J1066" i="17"/>
  <c r="K1066" i="17"/>
  <c r="J1067" i="17"/>
  <c r="K1067" i="17"/>
  <c r="J1068" i="17"/>
  <c r="K1068" i="17"/>
  <c r="J1069" i="17"/>
  <c r="K1069" i="17"/>
  <c r="J1070" i="17"/>
  <c r="K1070" i="17"/>
  <c r="J1071" i="17"/>
  <c r="K1071" i="17"/>
  <c r="J1072" i="17"/>
  <c r="K1072" i="17"/>
  <c r="J1073" i="17"/>
  <c r="K1073" i="17"/>
  <c r="J1074" i="17"/>
  <c r="K1074" i="17"/>
  <c r="J1075" i="17"/>
  <c r="K1075" i="17"/>
  <c r="J1076" i="17"/>
  <c r="K1076" i="17"/>
  <c r="J1077" i="17"/>
  <c r="K1077" i="17"/>
  <c r="J1078" i="17"/>
  <c r="K1078" i="17"/>
  <c r="J1079" i="17"/>
  <c r="K1079" i="17"/>
  <c r="J1080" i="17"/>
  <c r="K1080" i="17"/>
  <c r="J1081" i="17"/>
  <c r="K1081" i="17"/>
  <c r="J1082" i="17"/>
  <c r="K1082" i="17"/>
  <c r="J1083" i="17"/>
  <c r="K1083" i="17"/>
  <c r="J1084" i="17"/>
  <c r="K1084" i="17"/>
  <c r="J1085" i="17"/>
  <c r="K1085" i="17"/>
  <c r="J1086" i="17"/>
  <c r="K1086" i="17"/>
  <c r="J1087" i="17"/>
  <c r="K1087" i="17"/>
  <c r="J1088" i="17"/>
  <c r="K1088" i="17"/>
  <c r="J1089" i="17"/>
  <c r="K1089" i="17"/>
  <c r="J1090" i="17"/>
  <c r="K1090" i="17"/>
  <c r="J1091" i="17"/>
  <c r="J1092" i="17"/>
  <c r="K1092" i="17"/>
  <c r="J1093" i="17"/>
  <c r="K1093" i="17"/>
  <c r="J1094" i="17"/>
  <c r="K1094" i="17"/>
  <c r="J1095" i="17"/>
  <c r="K1095" i="17"/>
  <c r="J1096" i="17"/>
  <c r="K1096" i="17"/>
  <c r="J1097" i="17"/>
  <c r="K1097" i="17"/>
  <c r="J1098" i="17"/>
  <c r="J1099" i="17"/>
  <c r="K1099" i="17"/>
  <c r="J1100" i="17"/>
  <c r="K1100" i="17"/>
  <c r="J1101" i="17"/>
  <c r="K1101" i="17"/>
  <c r="J1102" i="17"/>
  <c r="K1102" i="17"/>
  <c r="J1103" i="17"/>
  <c r="K1103" i="17"/>
  <c r="J1104" i="17"/>
  <c r="K1104" i="17"/>
  <c r="J1105" i="17"/>
  <c r="K1105" i="17"/>
  <c r="J1106" i="17"/>
  <c r="K1106" i="17"/>
  <c r="J1107" i="17"/>
  <c r="K1107" i="17"/>
  <c r="J1108" i="17"/>
  <c r="K1108" i="17"/>
  <c r="J1109" i="17"/>
  <c r="K1109" i="17"/>
  <c r="J1110" i="17"/>
  <c r="K1110" i="17"/>
  <c r="J1111" i="17"/>
  <c r="K1111" i="17"/>
  <c r="J1112" i="17"/>
  <c r="K1112" i="17"/>
  <c r="J1113" i="17"/>
  <c r="K1113" i="17"/>
  <c r="J1114" i="17"/>
  <c r="K1114" i="17"/>
  <c r="J1115" i="17"/>
  <c r="K1115" i="17"/>
  <c r="J1116" i="17"/>
  <c r="K1116" i="17"/>
  <c r="J1117" i="17"/>
  <c r="K1117" i="17"/>
  <c r="J1118" i="17"/>
  <c r="K1118" i="17"/>
  <c r="J1119" i="17"/>
  <c r="K1119" i="17"/>
  <c r="J1120" i="17"/>
  <c r="K1120" i="17"/>
  <c r="J1121" i="17"/>
  <c r="K1121" i="17"/>
  <c r="J1122" i="17"/>
  <c r="K1122" i="17"/>
  <c r="J1123" i="17"/>
  <c r="K1123" i="17"/>
  <c r="J1124" i="17"/>
  <c r="K1124" i="17"/>
  <c r="J1125" i="17"/>
  <c r="K1125" i="17"/>
  <c r="J1126" i="17"/>
  <c r="K1126" i="17"/>
  <c r="J1127" i="17"/>
  <c r="K1127" i="17"/>
  <c r="J1128" i="17"/>
  <c r="K1128" i="17"/>
  <c r="J1129" i="17"/>
  <c r="K1129" i="17"/>
  <c r="J1130" i="17"/>
  <c r="K1130" i="17"/>
  <c r="J1131" i="17"/>
  <c r="K1131" i="17"/>
  <c r="J1132" i="17"/>
  <c r="K1132" i="17"/>
  <c r="J1133" i="17"/>
  <c r="K1133" i="17"/>
  <c r="J1134" i="17"/>
  <c r="K1134" i="17"/>
  <c r="J1135" i="17"/>
  <c r="K1135" i="17"/>
  <c r="J1136" i="17"/>
  <c r="K1136" i="17"/>
  <c r="J1137" i="17"/>
  <c r="K1137" i="17"/>
  <c r="J1138" i="17"/>
  <c r="K1138" i="17"/>
  <c r="J1139" i="17"/>
  <c r="K1139" i="17"/>
  <c r="J1140" i="17"/>
  <c r="K1140" i="17"/>
  <c r="J1141" i="17"/>
  <c r="K1141" i="17"/>
  <c r="J1142" i="17"/>
  <c r="K1142" i="17"/>
  <c r="J1143" i="17"/>
  <c r="K1143" i="17"/>
  <c r="J1144" i="17"/>
  <c r="K1144" i="17"/>
  <c r="J1145" i="17"/>
  <c r="K1145" i="17"/>
  <c r="J1146" i="17"/>
  <c r="K1146" i="17"/>
  <c r="J1147" i="17"/>
  <c r="K1147" i="17"/>
  <c r="J1148" i="17"/>
  <c r="K1148" i="17"/>
  <c r="J1149" i="17"/>
  <c r="K1149" i="17"/>
  <c r="J1150" i="17"/>
  <c r="K1150" i="17"/>
  <c r="J1151" i="17"/>
  <c r="K1151" i="17"/>
  <c r="J1152" i="17"/>
  <c r="K1152" i="17"/>
  <c r="J1153" i="17"/>
  <c r="K1153" i="17"/>
  <c r="J1154" i="17"/>
  <c r="K1154" i="17"/>
  <c r="J1155" i="17"/>
  <c r="K1155" i="17"/>
  <c r="J1156" i="17"/>
  <c r="K1156" i="17"/>
  <c r="J1157" i="17"/>
  <c r="J1158" i="17"/>
  <c r="K1158" i="17"/>
  <c r="J1159" i="17"/>
  <c r="K1159" i="17"/>
  <c r="J1160" i="17"/>
  <c r="K1160" i="17"/>
  <c r="J1161" i="17"/>
  <c r="K1161" i="17"/>
  <c r="J1162" i="17"/>
  <c r="K1162" i="17"/>
  <c r="J1163" i="17"/>
  <c r="K1163" i="17"/>
  <c r="J1164" i="17"/>
  <c r="J1165" i="17"/>
  <c r="K1165" i="17"/>
  <c r="J1166" i="17"/>
  <c r="K1166" i="17"/>
  <c r="J1167" i="17"/>
  <c r="K1167" i="17"/>
  <c r="J1168" i="17"/>
  <c r="K1168" i="17"/>
  <c r="J1169" i="17"/>
  <c r="K1169" i="17"/>
  <c r="J1170" i="17"/>
  <c r="K1170" i="17"/>
  <c r="J1171" i="17"/>
  <c r="J1172" i="17"/>
  <c r="K1172" i="17"/>
  <c r="J1173" i="17"/>
  <c r="K1173" i="17"/>
  <c r="J1174" i="17"/>
  <c r="K1174" i="17"/>
  <c r="J1175" i="17"/>
  <c r="J1176" i="17"/>
  <c r="K1176" i="17"/>
  <c r="J1177" i="17"/>
  <c r="K1177" i="17"/>
  <c r="J1178" i="17"/>
  <c r="J1179" i="17"/>
  <c r="K1179" i="17"/>
  <c r="J1180" i="17"/>
  <c r="K1180" i="17"/>
  <c r="J1181" i="17"/>
  <c r="K1181" i="17"/>
  <c r="J1182" i="17"/>
  <c r="K1182" i="17"/>
  <c r="J1183" i="17"/>
  <c r="K1183" i="17"/>
  <c r="J1184" i="17"/>
  <c r="K1184" i="17"/>
  <c r="J1185" i="17"/>
  <c r="K1185" i="17"/>
  <c r="J1186" i="17"/>
  <c r="K1186" i="17"/>
  <c r="J1187" i="17"/>
  <c r="K1187" i="17"/>
  <c r="J1188" i="17"/>
  <c r="K1188" i="17"/>
  <c r="J1189" i="17"/>
  <c r="K1189" i="17"/>
  <c r="J1190" i="17"/>
  <c r="K1190" i="17"/>
  <c r="J1191" i="17"/>
  <c r="K1191" i="17"/>
  <c r="J1192" i="17"/>
  <c r="K1192" i="17"/>
  <c r="J1193" i="17"/>
  <c r="K1193" i="17"/>
  <c r="J1194" i="17"/>
  <c r="K1194" i="17"/>
  <c r="J1195" i="17"/>
  <c r="K1195" i="17"/>
  <c r="J1196" i="17"/>
  <c r="K1196" i="17"/>
  <c r="J1197" i="17"/>
  <c r="K1197" i="17"/>
  <c r="J1198" i="17"/>
  <c r="K1198" i="17"/>
  <c r="J1199" i="17"/>
  <c r="K1199" i="17"/>
  <c r="J1200" i="17"/>
  <c r="K1200" i="17"/>
  <c r="J1201" i="17"/>
  <c r="K1201" i="17"/>
  <c r="J1202" i="17"/>
  <c r="K1202" i="17"/>
  <c r="J1203" i="17"/>
  <c r="K1203" i="17"/>
  <c r="J1204" i="17"/>
  <c r="K1204" i="17"/>
  <c r="J1205" i="17"/>
  <c r="K1205" i="17"/>
  <c r="J1206" i="17"/>
  <c r="K1206" i="17"/>
  <c r="J1207" i="17"/>
  <c r="K1207" i="17"/>
  <c r="J1208" i="17"/>
  <c r="K1208" i="17"/>
  <c r="J1209" i="17"/>
  <c r="K1209" i="17"/>
  <c r="J1210" i="17"/>
  <c r="K1210" i="17"/>
  <c r="J1211" i="17"/>
  <c r="K1211" i="17"/>
  <c r="J1212" i="17"/>
  <c r="K1212" i="17"/>
  <c r="J1213" i="17"/>
  <c r="K1213" i="17"/>
  <c r="J1214" i="17"/>
  <c r="K1214" i="17"/>
  <c r="J1215" i="17"/>
  <c r="K1215" i="17"/>
  <c r="J1216" i="17"/>
  <c r="K1216" i="17"/>
  <c r="J1217" i="17"/>
  <c r="K1217" i="17"/>
  <c r="J1218" i="17"/>
  <c r="K1218" i="17"/>
  <c r="J1219" i="17"/>
  <c r="K1219" i="17"/>
  <c r="J1220" i="17"/>
  <c r="K1220" i="17"/>
  <c r="J1221" i="17"/>
  <c r="K1221" i="17"/>
  <c r="J1222" i="17"/>
  <c r="K1222" i="17"/>
  <c r="J1223" i="17"/>
  <c r="K1223" i="17"/>
  <c r="J1224" i="17"/>
  <c r="K1224" i="17"/>
  <c r="J1225" i="17"/>
  <c r="K1225" i="17"/>
  <c r="J1226" i="17"/>
  <c r="K1226" i="17"/>
  <c r="J1227" i="17"/>
  <c r="K1227" i="17"/>
  <c r="J1228" i="17"/>
  <c r="K1228" i="17"/>
  <c r="J1229" i="17"/>
  <c r="K1229" i="17"/>
  <c r="J1230" i="17"/>
  <c r="K1230" i="17"/>
  <c r="J1231" i="17"/>
  <c r="K1231" i="17"/>
  <c r="J1232" i="17"/>
  <c r="K1232" i="17"/>
  <c r="J1233" i="17"/>
  <c r="K1233" i="17"/>
  <c r="J1234" i="17"/>
  <c r="K1234" i="17"/>
  <c r="J1235" i="17"/>
  <c r="K1235" i="17"/>
  <c r="J1236" i="17"/>
  <c r="K1236" i="17"/>
  <c r="J1237" i="17"/>
  <c r="K1237" i="17"/>
  <c r="J1238" i="17"/>
  <c r="K1238" i="17"/>
  <c r="J1239" i="17"/>
  <c r="K1239" i="17"/>
  <c r="J1240" i="17"/>
  <c r="K1240" i="17"/>
  <c r="J1241" i="17"/>
  <c r="K1241" i="17"/>
  <c r="J1242" i="17"/>
  <c r="K1242" i="17"/>
  <c r="J1243" i="17"/>
  <c r="K1243" i="17"/>
  <c r="J1244" i="17"/>
  <c r="K1244" i="17"/>
  <c r="J1245" i="17"/>
  <c r="K1245" i="17"/>
  <c r="J1246" i="17"/>
  <c r="K1246" i="17"/>
  <c r="J1247" i="17"/>
  <c r="K1247" i="17"/>
  <c r="J733" i="13"/>
  <c r="K733" i="13"/>
  <c r="J734" i="13"/>
  <c r="K734" i="13"/>
  <c r="J735" i="13"/>
  <c r="K735" i="13"/>
  <c r="J736" i="13"/>
  <c r="K736" i="13"/>
  <c r="J737" i="13"/>
  <c r="K737" i="13"/>
  <c r="J738" i="13"/>
  <c r="K738" i="13"/>
  <c r="J739" i="13"/>
  <c r="K739" i="13"/>
  <c r="J740" i="13"/>
  <c r="K740" i="13"/>
  <c r="J741" i="13"/>
  <c r="K741" i="13"/>
  <c r="J742" i="13"/>
  <c r="K742" i="13"/>
  <c r="J743" i="13"/>
  <c r="K743" i="13"/>
  <c r="J744" i="13"/>
  <c r="K744" i="13"/>
  <c r="J745" i="13"/>
  <c r="K745" i="13"/>
  <c r="J746" i="13"/>
  <c r="K746" i="13"/>
  <c r="J747" i="13"/>
  <c r="K747" i="13"/>
  <c r="J748" i="13"/>
  <c r="K748" i="13"/>
  <c r="J749" i="13"/>
  <c r="K749" i="13"/>
  <c r="J750" i="13"/>
  <c r="K750" i="13"/>
  <c r="J751" i="13"/>
  <c r="K751" i="13"/>
  <c r="J752" i="13"/>
  <c r="K752" i="13"/>
  <c r="J753" i="13"/>
  <c r="K753" i="13"/>
  <c r="J754" i="13"/>
  <c r="K754" i="13"/>
  <c r="J755" i="13"/>
  <c r="K755" i="13"/>
  <c r="J756" i="13"/>
  <c r="K756" i="13"/>
  <c r="J757" i="13"/>
  <c r="K757" i="13"/>
  <c r="J758" i="13"/>
  <c r="K758" i="13"/>
  <c r="J759" i="13"/>
  <c r="K759" i="13"/>
  <c r="J760" i="13"/>
  <c r="K760" i="13"/>
  <c r="J761" i="13"/>
  <c r="K761" i="13"/>
  <c r="J762" i="13"/>
  <c r="K762" i="13"/>
  <c r="J763" i="13"/>
  <c r="K763" i="13"/>
  <c r="J764" i="13"/>
  <c r="K764" i="13"/>
  <c r="J765" i="13"/>
  <c r="K765" i="13"/>
  <c r="J766" i="13"/>
  <c r="K766" i="13"/>
  <c r="J767" i="13"/>
  <c r="K767" i="13"/>
  <c r="J768" i="13"/>
  <c r="K768" i="13"/>
  <c r="J769" i="13"/>
  <c r="K769" i="13"/>
  <c r="J770" i="13"/>
  <c r="K770" i="13"/>
  <c r="J771" i="13"/>
  <c r="K771" i="13"/>
  <c r="J772" i="13"/>
  <c r="K772" i="13"/>
  <c r="J773" i="13"/>
  <c r="K773" i="13"/>
  <c r="J774" i="13"/>
  <c r="K774" i="13"/>
  <c r="J775" i="13"/>
  <c r="K775" i="13"/>
  <c r="J776" i="13"/>
  <c r="K776" i="13"/>
  <c r="J777" i="13"/>
  <c r="K777" i="13"/>
  <c r="J778" i="13"/>
  <c r="K778" i="13"/>
  <c r="J779" i="13"/>
  <c r="K779" i="13"/>
  <c r="J780" i="13"/>
  <c r="K780" i="13"/>
  <c r="J781" i="13"/>
  <c r="K781" i="13"/>
  <c r="J782" i="13"/>
  <c r="K782" i="13"/>
  <c r="J783" i="13"/>
  <c r="K783" i="13"/>
  <c r="J784" i="13"/>
  <c r="K784" i="13"/>
  <c r="J785" i="13"/>
  <c r="K785" i="13"/>
  <c r="J786" i="13"/>
  <c r="K786" i="13"/>
  <c r="J787" i="13"/>
  <c r="K787" i="13"/>
  <c r="J788" i="13"/>
  <c r="K788" i="13"/>
  <c r="J789" i="13"/>
  <c r="K789" i="13"/>
  <c r="J790" i="13"/>
  <c r="K790" i="13"/>
  <c r="J791" i="13"/>
  <c r="K791" i="13"/>
  <c r="J792" i="13"/>
  <c r="K792" i="13"/>
  <c r="J793" i="13"/>
  <c r="K793" i="13"/>
  <c r="J794" i="13"/>
  <c r="K794" i="13"/>
  <c r="J795" i="13"/>
  <c r="K795" i="13"/>
  <c r="J796" i="13"/>
  <c r="K796" i="13"/>
  <c r="J797" i="13"/>
  <c r="K797" i="13"/>
  <c r="J798" i="13"/>
  <c r="K798" i="13"/>
  <c r="J799" i="13"/>
  <c r="K799" i="13"/>
  <c r="J800" i="13"/>
  <c r="K800" i="13"/>
  <c r="J801" i="13"/>
  <c r="K801" i="13"/>
  <c r="J802" i="13"/>
  <c r="K802" i="13"/>
  <c r="J803" i="13"/>
  <c r="K803" i="13"/>
  <c r="J804" i="13"/>
  <c r="K804" i="13"/>
  <c r="J805" i="13"/>
  <c r="K805" i="13"/>
  <c r="J806" i="13"/>
  <c r="K806" i="13"/>
  <c r="J807" i="13"/>
  <c r="K807" i="13"/>
  <c r="J808" i="13"/>
  <c r="K808" i="13"/>
  <c r="J809" i="13"/>
  <c r="K809" i="13"/>
  <c r="J810" i="13"/>
  <c r="K810" i="13"/>
  <c r="J811" i="13"/>
  <c r="K811" i="13"/>
  <c r="J812" i="13"/>
  <c r="K812" i="13"/>
  <c r="J813" i="13"/>
  <c r="K813" i="13"/>
  <c r="J814" i="13"/>
  <c r="K814" i="13"/>
  <c r="J815" i="13"/>
  <c r="K815" i="13"/>
  <c r="J816" i="13"/>
  <c r="K816" i="13"/>
  <c r="J817" i="13"/>
  <c r="K817" i="13"/>
  <c r="J818" i="13"/>
  <c r="K818" i="13"/>
  <c r="J819" i="13"/>
  <c r="K819" i="13"/>
  <c r="J820" i="13"/>
  <c r="K820" i="13"/>
  <c r="J821" i="13"/>
  <c r="K821" i="13"/>
  <c r="J822" i="13"/>
  <c r="K822" i="13"/>
  <c r="J823" i="13"/>
  <c r="K823" i="13"/>
  <c r="J824" i="13"/>
  <c r="K824" i="13"/>
  <c r="J825" i="13"/>
  <c r="K825" i="13"/>
  <c r="J826" i="13"/>
  <c r="K826" i="13"/>
  <c r="J827" i="13"/>
  <c r="K827" i="13"/>
  <c r="J828" i="13"/>
  <c r="K828" i="13"/>
  <c r="J829" i="13"/>
  <c r="K829" i="13"/>
  <c r="J830" i="13"/>
  <c r="K830" i="13"/>
  <c r="J831" i="13"/>
  <c r="K831" i="13"/>
  <c r="J832" i="13"/>
  <c r="K832" i="13"/>
  <c r="J833" i="13"/>
  <c r="K833" i="13"/>
  <c r="J834" i="13"/>
  <c r="K834" i="13"/>
  <c r="J835" i="13"/>
  <c r="K835" i="13"/>
  <c r="J836" i="13"/>
  <c r="K836" i="13"/>
  <c r="J837" i="13"/>
  <c r="K837" i="13"/>
  <c r="J838" i="13"/>
  <c r="K838" i="13"/>
  <c r="J839" i="13"/>
  <c r="K839" i="13"/>
  <c r="J840" i="13"/>
  <c r="K840" i="13"/>
  <c r="J841" i="13"/>
  <c r="K841" i="13"/>
  <c r="J842" i="13"/>
  <c r="K842" i="13"/>
  <c r="J843" i="13"/>
  <c r="K843" i="13"/>
  <c r="J844" i="13"/>
  <c r="K844" i="13"/>
  <c r="J845" i="13"/>
  <c r="K845" i="13"/>
  <c r="J846" i="13"/>
  <c r="K846" i="13"/>
  <c r="J847" i="13"/>
  <c r="K847" i="13"/>
  <c r="J848" i="13"/>
  <c r="K848" i="13"/>
  <c r="J849" i="13"/>
  <c r="K849" i="13"/>
  <c r="J850" i="13"/>
  <c r="K850" i="13"/>
  <c r="J851" i="13"/>
  <c r="K851" i="13"/>
  <c r="J852" i="13"/>
  <c r="K852" i="13"/>
  <c r="J853" i="13"/>
  <c r="K853" i="13"/>
  <c r="J854" i="13"/>
  <c r="K854" i="13"/>
  <c r="J855" i="13"/>
  <c r="K855" i="13"/>
  <c r="J856" i="13"/>
  <c r="K856" i="13"/>
  <c r="J857" i="13"/>
  <c r="K857" i="13"/>
  <c r="J858" i="13"/>
  <c r="K858" i="13"/>
  <c r="J859" i="13"/>
  <c r="K859" i="13"/>
  <c r="J860" i="13"/>
  <c r="K860" i="13"/>
  <c r="J861" i="13"/>
  <c r="K861" i="13"/>
  <c r="J862" i="13"/>
  <c r="K862" i="13"/>
  <c r="J863" i="13"/>
  <c r="K863" i="13"/>
  <c r="J864" i="13"/>
  <c r="K864" i="13"/>
  <c r="J865" i="13"/>
  <c r="K865" i="13"/>
  <c r="J866" i="13"/>
  <c r="K866" i="13"/>
  <c r="J867" i="13"/>
  <c r="K867" i="13"/>
  <c r="J868" i="13"/>
  <c r="K868" i="13"/>
  <c r="J869" i="13"/>
  <c r="K869" i="13"/>
  <c r="J870" i="13"/>
  <c r="K870" i="13"/>
  <c r="J871" i="13"/>
  <c r="K871" i="13"/>
  <c r="J872" i="13"/>
  <c r="K872" i="13"/>
  <c r="J873" i="13"/>
  <c r="K873" i="13"/>
  <c r="J874" i="13"/>
  <c r="K874" i="13"/>
  <c r="J875" i="13"/>
  <c r="K875" i="13"/>
  <c r="J876" i="13"/>
  <c r="K876" i="13"/>
  <c r="J877" i="13"/>
  <c r="K877" i="13"/>
  <c r="J878" i="13"/>
  <c r="K878" i="13"/>
  <c r="J879" i="13"/>
  <c r="K879" i="13"/>
  <c r="J880" i="13"/>
  <c r="K880" i="13"/>
  <c r="J881" i="13"/>
  <c r="K881" i="13"/>
  <c r="J882" i="13"/>
  <c r="K882" i="13"/>
  <c r="J883" i="13"/>
  <c r="K883" i="13"/>
  <c r="J884" i="13"/>
  <c r="K884" i="13"/>
  <c r="J885" i="13"/>
  <c r="K885" i="13"/>
  <c r="J886" i="13"/>
  <c r="K886" i="13"/>
  <c r="J887" i="13"/>
  <c r="K887" i="13"/>
  <c r="J888" i="13"/>
  <c r="K888" i="13"/>
  <c r="J889" i="13"/>
  <c r="K889" i="13"/>
  <c r="J890" i="13"/>
  <c r="K890" i="13"/>
  <c r="J891" i="13"/>
  <c r="K891" i="13"/>
  <c r="J892" i="13"/>
  <c r="K892" i="13"/>
  <c r="J893" i="13"/>
  <c r="K893" i="13"/>
  <c r="J894" i="13"/>
  <c r="K894" i="13"/>
  <c r="J895" i="13"/>
  <c r="K895" i="13"/>
  <c r="J896" i="13"/>
  <c r="K896" i="13"/>
  <c r="J897" i="13"/>
  <c r="K897" i="13"/>
  <c r="J898" i="13"/>
  <c r="K898" i="13"/>
  <c r="J899" i="13"/>
  <c r="K899" i="13"/>
  <c r="J900" i="13"/>
  <c r="K900" i="13"/>
  <c r="J901" i="13"/>
  <c r="K901" i="13"/>
  <c r="J902" i="13"/>
  <c r="K902" i="13"/>
  <c r="J903" i="13"/>
  <c r="K903" i="13"/>
  <c r="J904" i="13"/>
  <c r="K904" i="13"/>
  <c r="J905" i="13"/>
  <c r="K905" i="13"/>
  <c r="J906" i="13"/>
  <c r="K906" i="13"/>
  <c r="J907" i="13"/>
  <c r="K907" i="13"/>
  <c r="J908" i="13"/>
  <c r="K908" i="13"/>
  <c r="J909" i="13"/>
  <c r="K909" i="13"/>
  <c r="J910" i="13"/>
  <c r="K910" i="13"/>
  <c r="J911" i="13"/>
  <c r="K911" i="13"/>
  <c r="J912" i="13"/>
  <c r="K912" i="13"/>
  <c r="J913" i="13"/>
  <c r="K913" i="13"/>
  <c r="J914" i="13"/>
  <c r="K914" i="13"/>
  <c r="J915" i="13"/>
  <c r="K915" i="13"/>
  <c r="J916" i="13"/>
  <c r="K916" i="13"/>
  <c r="J917" i="13"/>
  <c r="K917" i="13"/>
  <c r="J918" i="13"/>
  <c r="K918" i="13"/>
  <c r="J919" i="13"/>
  <c r="K919" i="13"/>
  <c r="J920" i="13"/>
  <c r="K920" i="13"/>
  <c r="J921" i="13"/>
  <c r="K921" i="13"/>
  <c r="J922" i="13"/>
  <c r="K922" i="13"/>
  <c r="J923" i="13"/>
  <c r="K923" i="13"/>
  <c r="J924" i="13"/>
  <c r="K924" i="13"/>
  <c r="J925" i="13"/>
  <c r="K925" i="13"/>
  <c r="J926" i="13"/>
  <c r="K926" i="13"/>
  <c r="J927" i="13"/>
  <c r="K927" i="13"/>
  <c r="J928" i="13"/>
  <c r="K928" i="13"/>
  <c r="J929" i="13"/>
  <c r="K929" i="13"/>
  <c r="J930" i="13"/>
  <c r="K930" i="13"/>
  <c r="J931" i="13"/>
  <c r="K931" i="13"/>
  <c r="J932" i="13"/>
  <c r="K932" i="13"/>
  <c r="J933" i="13"/>
  <c r="K933" i="13"/>
  <c r="J934" i="13"/>
  <c r="K934" i="13"/>
  <c r="J935" i="13"/>
  <c r="K935" i="13"/>
  <c r="J936" i="13"/>
  <c r="K936" i="13"/>
  <c r="J937" i="13"/>
  <c r="K937" i="13"/>
  <c r="J938" i="13"/>
  <c r="K938" i="13"/>
  <c r="J939" i="13"/>
  <c r="K939" i="13"/>
  <c r="J940" i="13"/>
  <c r="K940" i="13"/>
  <c r="J941" i="13"/>
  <c r="K941" i="13"/>
  <c r="J942" i="13"/>
  <c r="K942" i="13"/>
  <c r="J943" i="13"/>
  <c r="K943" i="13"/>
  <c r="J944" i="13"/>
  <c r="K944" i="13"/>
  <c r="J945" i="13"/>
  <c r="K945" i="13"/>
  <c r="J946" i="13"/>
  <c r="K946" i="13"/>
  <c r="J947" i="13"/>
  <c r="K947" i="13"/>
  <c r="J948" i="13"/>
  <c r="K948" i="13"/>
  <c r="J949" i="13"/>
  <c r="K949" i="13"/>
  <c r="J950" i="13"/>
  <c r="K950" i="13"/>
  <c r="J951" i="13"/>
  <c r="K951" i="13"/>
  <c r="J952" i="13"/>
  <c r="K952" i="13"/>
  <c r="J953" i="13"/>
  <c r="K953" i="13"/>
  <c r="J954" i="13"/>
  <c r="K954" i="13"/>
  <c r="J955" i="13"/>
  <c r="K955" i="13"/>
  <c r="J956" i="13"/>
  <c r="K956" i="13"/>
  <c r="J957" i="13"/>
  <c r="K957" i="13"/>
  <c r="J958" i="13"/>
  <c r="K958" i="13"/>
  <c r="J959" i="13"/>
  <c r="K959" i="13"/>
  <c r="J960" i="13"/>
  <c r="K960" i="13"/>
  <c r="J961" i="13"/>
  <c r="K961" i="13"/>
  <c r="J962" i="13"/>
  <c r="K962" i="13"/>
  <c r="J963" i="13"/>
  <c r="K963" i="13"/>
  <c r="J964" i="13"/>
  <c r="K964" i="13"/>
  <c r="J965" i="13"/>
  <c r="K965" i="13"/>
  <c r="J966" i="13"/>
  <c r="K966" i="13"/>
  <c r="J967" i="13"/>
  <c r="K967" i="13"/>
  <c r="J968" i="13"/>
  <c r="K968" i="13"/>
  <c r="J969" i="13"/>
  <c r="K969" i="13"/>
  <c r="J970" i="13"/>
  <c r="K970" i="13"/>
  <c r="J971" i="13"/>
  <c r="K971" i="13"/>
  <c r="J972" i="13"/>
  <c r="K972" i="13"/>
  <c r="J973" i="13"/>
  <c r="K973" i="13"/>
  <c r="J974" i="13"/>
  <c r="K974" i="13"/>
  <c r="J975" i="13"/>
  <c r="K975" i="13"/>
  <c r="J976" i="13"/>
  <c r="K976" i="13"/>
  <c r="J977" i="13"/>
  <c r="K977" i="13"/>
  <c r="J978" i="13"/>
  <c r="K978" i="13"/>
  <c r="J979" i="13"/>
  <c r="K979" i="13"/>
  <c r="J980" i="13"/>
  <c r="K980" i="13"/>
  <c r="J981" i="13"/>
  <c r="K981" i="13"/>
  <c r="J982" i="13"/>
  <c r="K982" i="13"/>
  <c r="J983" i="13"/>
  <c r="K983" i="13"/>
  <c r="J984" i="13"/>
  <c r="K984" i="13"/>
  <c r="J985" i="13"/>
  <c r="K985" i="13"/>
  <c r="J986" i="13"/>
  <c r="K986" i="13"/>
  <c r="J987" i="13"/>
  <c r="K987" i="13"/>
  <c r="J988" i="13"/>
  <c r="K988" i="13"/>
  <c r="J989" i="13"/>
  <c r="K989" i="13"/>
  <c r="J990" i="13"/>
  <c r="K990" i="13"/>
  <c r="J991" i="13"/>
  <c r="K991" i="13"/>
  <c r="J992" i="13"/>
  <c r="K992" i="13"/>
  <c r="J993" i="13"/>
  <c r="K993" i="13"/>
  <c r="J994" i="13"/>
  <c r="K994" i="13"/>
  <c r="J995" i="13"/>
  <c r="K995" i="13"/>
  <c r="J996" i="13"/>
  <c r="K996" i="13"/>
  <c r="J997" i="13"/>
  <c r="K997" i="13"/>
  <c r="J998" i="13"/>
  <c r="K998" i="13"/>
  <c r="J999" i="13"/>
  <c r="K999" i="13"/>
  <c r="J1000" i="13"/>
  <c r="K1000" i="13"/>
  <c r="J1001" i="13"/>
  <c r="K1001" i="13"/>
  <c r="J1002" i="13"/>
  <c r="K1002" i="13"/>
  <c r="J1003" i="13"/>
  <c r="K1003" i="13"/>
  <c r="J1004" i="13"/>
  <c r="K1004" i="13"/>
  <c r="J1005" i="13"/>
  <c r="K1005" i="13"/>
  <c r="J1006" i="13"/>
  <c r="K1006" i="13"/>
  <c r="J1007" i="13"/>
  <c r="K1007" i="13"/>
  <c r="J1008" i="13"/>
  <c r="K1008" i="13"/>
  <c r="J1009" i="13"/>
  <c r="K1009" i="13"/>
  <c r="J1010" i="13"/>
  <c r="K1010" i="13"/>
  <c r="J1011" i="13"/>
  <c r="K1011" i="13"/>
  <c r="J1012" i="13"/>
  <c r="K1012" i="13"/>
  <c r="J1013" i="13"/>
  <c r="K1013" i="13"/>
  <c r="J1014" i="13"/>
  <c r="K1014" i="13"/>
  <c r="J1015" i="13"/>
  <c r="K1015" i="13"/>
  <c r="J1016" i="13"/>
  <c r="K1016" i="13"/>
  <c r="J1017" i="13"/>
  <c r="K1017" i="13"/>
  <c r="J1018" i="13"/>
  <c r="K1018" i="13"/>
  <c r="J1019" i="13"/>
  <c r="K1019" i="13"/>
  <c r="J1020" i="13"/>
  <c r="K1020" i="13"/>
  <c r="J1021" i="13"/>
  <c r="K1021" i="13"/>
  <c r="J1022" i="13"/>
  <c r="K1022" i="13"/>
  <c r="J1023" i="13"/>
  <c r="K1023" i="13"/>
  <c r="J1024" i="13"/>
  <c r="K1024" i="13"/>
  <c r="J1025" i="13"/>
  <c r="K1025" i="13"/>
  <c r="J1026" i="13"/>
  <c r="K1026" i="13"/>
  <c r="J1027" i="13"/>
  <c r="K1027" i="13"/>
  <c r="J1028" i="13"/>
  <c r="K1028" i="13"/>
  <c r="J1029" i="13"/>
  <c r="K1029" i="13"/>
  <c r="J1030" i="13"/>
  <c r="K1030" i="13"/>
  <c r="J1031" i="13"/>
  <c r="K1031" i="13"/>
  <c r="J1032" i="13"/>
  <c r="K1032" i="13"/>
  <c r="J1033" i="13"/>
  <c r="K1033" i="13"/>
  <c r="J1034" i="13"/>
  <c r="K1034" i="13"/>
  <c r="J1035" i="13"/>
  <c r="K1035" i="13"/>
  <c r="J1036" i="13"/>
  <c r="K1036" i="13"/>
  <c r="J1037" i="13"/>
  <c r="K1037" i="13"/>
  <c r="J1038" i="13"/>
  <c r="K1038" i="13"/>
  <c r="J1039" i="13"/>
  <c r="K1039" i="13"/>
  <c r="J1040" i="13"/>
  <c r="K1040" i="13"/>
  <c r="J1041" i="13"/>
  <c r="K1041" i="13"/>
  <c r="J1042" i="13"/>
  <c r="K1042" i="13"/>
  <c r="J1043" i="13"/>
  <c r="K1043" i="13"/>
  <c r="J1044" i="13"/>
  <c r="K1044" i="13"/>
  <c r="J1045" i="13"/>
  <c r="K1045" i="13"/>
  <c r="J1046" i="13"/>
  <c r="K1046" i="13"/>
  <c r="J1047" i="13"/>
  <c r="K1047" i="13"/>
  <c r="J1048" i="13"/>
  <c r="K1048" i="13"/>
  <c r="J1049" i="13"/>
  <c r="K1049" i="13"/>
  <c r="J1050" i="13"/>
  <c r="K1050" i="13"/>
  <c r="J1051" i="13"/>
  <c r="K1051" i="13"/>
  <c r="J1052" i="13"/>
  <c r="K1052" i="13"/>
  <c r="J1053" i="13"/>
  <c r="K1053" i="13"/>
  <c r="J1054" i="13"/>
  <c r="K1054" i="13"/>
  <c r="J1055" i="13"/>
  <c r="K1055" i="13"/>
  <c r="J1056" i="13"/>
  <c r="K1056" i="13"/>
  <c r="J1057" i="13"/>
  <c r="K1057" i="13"/>
  <c r="J1058" i="13"/>
  <c r="K1058" i="13"/>
  <c r="J1059" i="13"/>
  <c r="K1059" i="13"/>
  <c r="J1060" i="13"/>
  <c r="K1060" i="13"/>
  <c r="J1061" i="13"/>
  <c r="K1061" i="13"/>
  <c r="J1062" i="13"/>
  <c r="K1062" i="13"/>
  <c r="J1063" i="13"/>
  <c r="K1063" i="13"/>
  <c r="J1064" i="13"/>
  <c r="K1064" i="13"/>
  <c r="J1065" i="13"/>
  <c r="K1065" i="13"/>
  <c r="J1066" i="13"/>
  <c r="K1066" i="13"/>
  <c r="J1067" i="13"/>
  <c r="K1067" i="13"/>
  <c r="J1068" i="13"/>
  <c r="K1068" i="13"/>
  <c r="J1069" i="13"/>
  <c r="K1069" i="13"/>
  <c r="J1070" i="13"/>
  <c r="K1070" i="13"/>
  <c r="J1071" i="13"/>
  <c r="K1071" i="13"/>
  <c r="J1072" i="13"/>
  <c r="K1072" i="13"/>
  <c r="J1073" i="13"/>
  <c r="K1073" i="13"/>
  <c r="J1074" i="13"/>
  <c r="K1074" i="13"/>
  <c r="J1075" i="13"/>
  <c r="K1075" i="13"/>
  <c r="J1076" i="13"/>
  <c r="K1076" i="13"/>
  <c r="J1077" i="13"/>
  <c r="K1077" i="13"/>
  <c r="J1078" i="13"/>
  <c r="K1078" i="13"/>
  <c r="J1079" i="13"/>
  <c r="K1079" i="13"/>
  <c r="J1080" i="13"/>
  <c r="K1080" i="13"/>
  <c r="J1081" i="13"/>
  <c r="K1081" i="13"/>
  <c r="J1082" i="13"/>
  <c r="K1082" i="13"/>
  <c r="J1083" i="13"/>
  <c r="K1083" i="13"/>
  <c r="J1084" i="13"/>
  <c r="K1084" i="13"/>
  <c r="J1085" i="13"/>
  <c r="K1085" i="13"/>
  <c r="J1086" i="13"/>
  <c r="K1086" i="13"/>
  <c r="J1087" i="13"/>
  <c r="K1087" i="13"/>
  <c r="J1088" i="13"/>
  <c r="K1088" i="13"/>
  <c r="J1089" i="13"/>
  <c r="K1089" i="13"/>
  <c r="J1090" i="13"/>
  <c r="K1090" i="13"/>
  <c r="J1091" i="13"/>
  <c r="K1091" i="13"/>
  <c r="J1092" i="13"/>
  <c r="K1092" i="13"/>
  <c r="J1093" i="13"/>
  <c r="K1093" i="13"/>
  <c r="J1094" i="13"/>
  <c r="K1094" i="13"/>
  <c r="J1095" i="13"/>
  <c r="K1095" i="13"/>
  <c r="J1096" i="13"/>
  <c r="K1096" i="13"/>
  <c r="J1097" i="13"/>
  <c r="K1097" i="13"/>
  <c r="K1097" i="16"/>
  <c r="J1097" i="16"/>
  <c r="K1096" i="16"/>
  <c r="J1096" i="16"/>
  <c r="K1095" i="16"/>
  <c r="J1095" i="16"/>
  <c r="K1094" i="16"/>
  <c r="J1094" i="16"/>
  <c r="K1093" i="16"/>
  <c r="J1093" i="16"/>
  <c r="K1092" i="16"/>
  <c r="J1092" i="16"/>
  <c r="K1091" i="16"/>
  <c r="J1091" i="16"/>
  <c r="K1090" i="16"/>
  <c r="J1090" i="16"/>
  <c r="K1089" i="16"/>
  <c r="J1089" i="16"/>
  <c r="K1088" i="16"/>
  <c r="J1088" i="16"/>
  <c r="K1087" i="16"/>
  <c r="J1087" i="16"/>
  <c r="K1086" i="16"/>
  <c r="J1086" i="16"/>
  <c r="K1085" i="16"/>
  <c r="J1085" i="16"/>
  <c r="K1084" i="16"/>
  <c r="J1084" i="16"/>
  <c r="K1083" i="16"/>
  <c r="J1083" i="16"/>
  <c r="K1082" i="16"/>
  <c r="J1082" i="16"/>
  <c r="K1081" i="16"/>
  <c r="J1081" i="16"/>
  <c r="K1080" i="16"/>
  <c r="J1080" i="16"/>
  <c r="K1079" i="16"/>
  <c r="J1079" i="16"/>
  <c r="K1078" i="16"/>
  <c r="J1078" i="16"/>
  <c r="K1077" i="16"/>
  <c r="J1077" i="16"/>
  <c r="K1076" i="16"/>
  <c r="J1076" i="16"/>
  <c r="K1075" i="16"/>
  <c r="J1075" i="16"/>
  <c r="K1074" i="16"/>
  <c r="J1074" i="16"/>
  <c r="K1073" i="16"/>
  <c r="J1073" i="16"/>
  <c r="K1072" i="16"/>
  <c r="J1072" i="16"/>
  <c r="K1071" i="16"/>
  <c r="J1071" i="16"/>
  <c r="K1070" i="16"/>
  <c r="J1070" i="16"/>
  <c r="K1069" i="16"/>
  <c r="J1069" i="16"/>
  <c r="K1068" i="16"/>
  <c r="J1068" i="16"/>
  <c r="K1067" i="16"/>
  <c r="J1067" i="16"/>
  <c r="K1066" i="16"/>
  <c r="J1066" i="16"/>
  <c r="K1065" i="16"/>
  <c r="J1065" i="16"/>
  <c r="K1064" i="16"/>
  <c r="J1064" i="16"/>
  <c r="K1063" i="16"/>
  <c r="J1063" i="16"/>
  <c r="K1062" i="16"/>
  <c r="J1062" i="16"/>
  <c r="K1061" i="16"/>
  <c r="J1061" i="16"/>
  <c r="K1060" i="16"/>
  <c r="J1060" i="16"/>
  <c r="K1059" i="16"/>
  <c r="J1059" i="16"/>
  <c r="K1058" i="16"/>
  <c r="J1058" i="16"/>
  <c r="K1057" i="16"/>
  <c r="J1057" i="16"/>
  <c r="K1056" i="16"/>
  <c r="J1056" i="16"/>
  <c r="K1055" i="16"/>
  <c r="J1055" i="16"/>
  <c r="K1054" i="16"/>
  <c r="J1054" i="16"/>
  <c r="K1053" i="16"/>
  <c r="J1053" i="16"/>
  <c r="K1052" i="16"/>
  <c r="J1052" i="16"/>
  <c r="K1051" i="16"/>
  <c r="J1051" i="16"/>
  <c r="K1050" i="16"/>
  <c r="J1050" i="16"/>
  <c r="K1049" i="16"/>
  <c r="J1049" i="16"/>
  <c r="K1048" i="16"/>
  <c r="J1048" i="16"/>
  <c r="K1047" i="16"/>
  <c r="J1047" i="16"/>
  <c r="K1046" i="16"/>
  <c r="J1046" i="16"/>
  <c r="K1045" i="16"/>
  <c r="J1045" i="16"/>
  <c r="K1044" i="16"/>
  <c r="J1044" i="16"/>
  <c r="K1043" i="16"/>
  <c r="J1043" i="16"/>
  <c r="K1042" i="16"/>
  <c r="J1042" i="16"/>
  <c r="K1041" i="16"/>
  <c r="J1041" i="16"/>
  <c r="K1040" i="16"/>
  <c r="J1040" i="16"/>
  <c r="K1039" i="16"/>
  <c r="J1039" i="16"/>
  <c r="K1038" i="16"/>
  <c r="J1038" i="16"/>
  <c r="K1037" i="16"/>
  <c r="J1037" i="16"/>
  <c r="K1036" i="16"/>
  <c r="J1036" i="16"/>
  <c r="K1035" i="16"/>
  <c r="J1035" i="16"/>
  <c r="K1034" i="16"/>
  <c r="J1034" i="16"/>
  <c r="K1033" i="16"/>
  <c r="J1033" i="16"/>
  <c r="K1032" i="16"/>
  <c r="J1032" i="16"/>
  <c r="K1031" i="16"/>
  <c r="J1031" i="16"/>
  <c r="K1030" i="16"/>
  <c r="J1030" i="16"/>
  <c r="K1029" i="16"/>
  <c r="J1029" i="16"/>
  <c r="K1028" i="16"/>
  <c r="J1028" i="16"/>
  <c r="K1027" i="16"/>
  <c r="J1027" i="16"/>
  <c r="K1026" i="16"/>
  <c r="J1026" i="16"/>
  <c r="K1025" i="16"/>
  <c r="J1025" i="16"/>
  <c r="K1024" i="16"/>
  <c r="J1024" i="16"/>
  <c r="K1023" i="16"/>
  <c r="J1023" i="16"/>
  <c r="K1022" i="16"/>
  <c r="J1022" i="16"/>
  <c r="K1021" i="16"/>
  <c r="J1021" i="16"/>
  <c r="K1020" i="16"/>
  <c r="J1020" i="16"/>
  <c r="K1019" i="16"/>
  <c r="J1019" i="16"/>
  <c r="K1018" i="16"/>
  <c r="J1018" i="16"/>
  <c r="K1017" i="16"/>
  <c r="J1017" i="16"/>
  <c r="K1016" i="16"/>
  <c r="J1016" i="16"/>
  <c r="K1015" i="16"/>
  <c r="J1015" i="16"/>
  <c r="K1014" i="16"/>
  <c r="J1014" i="16"/>
  <c r="K1013" i="16"/>
  <c r="J1013" i="16"/>
  <c r="K1012" i="16"/>
  <c r="J1012" i="16"/>
  <c r="K1011" i="16"/>
  <c r="J1011" i="16"/>
  <c r="K1010" i="16"/>
  <c r="J1010" i="16"/>
  <c r="K1009" i="16"/>
  <c r="J1009" i="16"/>
  <c r="K1008" i="16"/>
  <c r="J1008" i="16"/>
  <c r="K1007" i="16"/>
  <c r="J1007" i="16"/>
  <c r="K1006" i="16"/>
  <c r="J1006" i="16"/>
  <c r="K1005" i="16"/>
  <c r="J1005" i="16"/>
  <c r="K1004" i="16"/>
  <c r="J1004" i="16"/>
  <c r="K1003" i="16"/>
  <c r="J1003" i="16"/>
  <c r="K1002" i="16"/>
  <c r="J1002" i="16"/>
  <c r="K1001" i="16"/>
  <c r="J1001" i="16"/>
  <c r="K1000" i="16"/>
  <c r="J1000" i="16"/>
  <c r="K999" i="16"/>
  <c r="J999" i="16"/>
  <c r="K998" i="16"/>
  <c r="J998" i="16"/>
  <c r="K997" i="16"/>
  <c r="J997" i="16"/>
  <c r="K996" i="16"/>
  <c r="J996" i="16"/>
  <c r="K995" i="16"/>
  <c r="J995" i="16"/>
  <c r="K994" i="16"/>
  <c r="J994" i="16"/>
  <c r="K993" i="16"/>
  <c r="J993" i="16"/>
  <c r="K992" i="16"/>
  <c r="J992" i="16"/>
  <c r="K991" i="16"/>
  <c r="J991" i="16"/>
  <c r="K990" i="16"/>
  <c r="J990" i="16"/>
  <c r="K989" i="16"/>
  <c r="J989" i="16"/>
  <c r="K988" i="16"/>
  <c r="J988" i="16"/>
  <c r="K987" i="16"/>
  <c r="J987" i="16"/>
  <c r="K986" i="16"/>
  <c r="J986" i="16"/>
  <c r="K985" i="16"/>
  <c r="J985" i="16"/>
  <c r="K984" i="16"/>
  <c r="J984" i="16"/>
  <c r="K983" i="16"/>
  <c r="J983" i="16"/>
  <c r="K982" i="16"/>
  <c r="J982" i="16"/>
  <c r="K981" i="16"/>
  <c r="J981" i="16"/>
  <c r="K980" i="16"/>
  <c r="J980" i="16"/>
  <c r="K979" i="16"/>
  <c r="J979" i="16"/>
  <c r="K978" i="16"/>
  <c r="J978" i="16"/>
  <c r="K977" i="16"/>
  <c r="J977" i="16"/>
  <c r="K976" i="16"/>
  <c r="J976" i="16"/>
  <c r="K975" i="16"/>
  <c r="J975" i="16"/>
  <c r="K974" i="16"/>
  <c r="J974" i="16"/>
  <c r="K973" i="16"/>
  <c r="J973" i="16"/>
  <c r="K972" i="16"/>
  <c r="J972" i="16"/>
  <c r="K971" i="16"/>
  <c r="J971" i="16"/>
  <c r="K970" i="16"/>
  <c r="J970" i="16"/>
  <c r="K969" i="16"/>
  <c r="J969" i="16"/>
  <c r="K968" i="16"/>
  <c r="J968" i="16"/>
  <c r="K967" i="16"/>
  <c r="J967" i="16"/>
  <c r="K966" i="16"/>
  <c r="J966" i="16"/>
  <c r="K965" i="16"/>
  <c r="J965" i="16"/>
  <c r="K964" i="16"/>
  <c r="J964" i="16"/>
  <c r="K963" i="16"/>
  <c r="J963" i="16"/>
  <c r="K962" i="16"/>
  <c r="J962" i="16"/>
  <c r="K961" i="16"/>
  <c r="J961" i="16"/>
  <c r="K960" i="16"/>
  <c r="J960" i="16"/>
  <c r="K959" i="16"/>
  <c r="J959" i="16"/>
  <c r="K958" i="16"/>
  <c r="J958" i="16"/>
  <c r="K957" i="16"/>
  <c r="J957" i="16"/>
  <c r="K956" i="16"/>
  <c r="J956" i="16"/>
  <c r="K955" i="16"/>
  <c r="J955" i="16"/>
  <c r="K954" i="16"/>
  <c r="J954" i="16"/>
  <c r="K953" i="16"/>
  <c r="J953" i="16"/>
  <c r="K952" i="16"/>
  <c r="J952" i="16"/>
  <c r="K951" i="16"/>
  <c r="J951" i="16"/>
  <c r="K950" i="16"/>
  <c r="J950" i="16"/>
  <c r="K949" i="16"/>
  <c r="J949" i="16"/>
  <c r="K948" i="16"/>
  <c r="J948" i="16"/>
  <c r="K947" i="16"/>
  <c r="J947" i="16"/>
  <c r="K946" i="16"/>
  <c r="J946" i="16"/>
  <c r="K945" i="16"/>
  <c r="J945" i="16"/>
  <c r="K944" i="16"/>
  <c r="J944" i="16"/>
  <c r="K943" i="16"/>
  <c r="J943" i="16"/>
  <c r="K942" i="16"/>
  <c r="J942" i="16"/>
  <c r="K941" i="16"/>
  <c r="J941" i="16"/>
  <c r="K940" i="16"/>
  <c r="J940" i="16"/>
  <c r="K939" i="16"/>
  <c r="J939" i="16"/>
  <c r="K938" i="16"/>
  <c r="J938" i="16"/>
  <c r="K937" i="16"/>
  <c r="J937" i="16"/>
  <c r="K936" i="16"/>
  <c r="J936" i="16"/>
  <c r="K935" i="16"/>
  <c r="J935" i="16"/>
  <c r="K934" i="16"/>
  <c r="J934" i="16"/>
  <c r="K933" i="16"/>
  <c r="J933" i="16"/>
  <c r="K932" i="16"/>
  <c r="J932" i="16"/>
  <c r="K931" i="16"/>
  <c r="J931" i="16"/>
  <c r="K930" i="16"/>
  <c r="J930" i="16"/>
  <c r="K929" i="16"/>
  <c r="J929" i="16"/>
  <c r="K928" i="16"/>
  <c r="J928" i="16"/>
  <c r="K927" i="16"/>
  <c r="J927" i="16"/>
  <c r="K926" i="16"/>
  <c r="J926" i="16"/>
  <c r="K925" i="16"/>
  <c r="J925" i="16"/>
  <c r="K924" i="16"/>
  <c r="J924" i="16"/>
  <c r="K923" i="16"/>
  <c r="J923" i="16"/>
  <c r="K922" i="16"/>
  <c r="J922" i="16"/>
  <c r="K921" i="16"/>
  <c r="J921" i="16"/>
  <c r="K920" i="16"/>
  <c r="J920" i="16"/>
  <c r="K919" i="16"/>
  <c r="J919" i="16"/>
  <c r="K918" i="16"/>
  <c r="J918" i="16"/>
  <c r="K917" i="16"/>
  <c r="J917" i="16"/>
  <c r="K916" i="16"/>
  <c r="J916" i="16"/>
  <c r="K915" i="16"/>
  <c r="J915" i="16"/>
  <c r="K914" i="16"/>
  <c r="J914" i="16"/>
  <c r="K913" i="16"/>
  <c r="J913" i="16"/>
  <c r="K912" i="16"/>
  <c r="J912" i="16"/>
  <c r="K911" i="16"/>
  <c r="J911" i="16"/>
  <c r="K910" i="16"/>
  <c r="J910" i="16"/>
  <c r="K909" i="16"/>
  <c r="J909" i="16"/>
  <c r="K908" i="16"/>
  <c r="J908" i="16"/>
  <c r="K907" i="16"/>
  <c r="J907" i="16"/>
  <c r="K906" i="16"/>
  <c r="J906" i="16"/>
  <c r="K905" i="16"/>
  <c r="J905" i="16"/>
  <c r="K904" i="16"/>
  <c r="J904" i="16"/>
  <c r="K903" i="16"/>
  <c r="J903" i="16"/>
  <c r="K902" i="16"/>
  <c r="J902" i="16"/>
  <c r="K901" i="16"/>
  <c r="J901" i="16"/>
  <c r="K900" i="16"/>
  <c r="J900" i="16"/>
  <c r="K899" i="16"/>
  <c r="J899" i="16"/>
  <c r="K898" i="16"/>
  <c r="J898" i="16"/>
  <c r="K897" i="16"/>
  <c r="J897" i="16"/>
  <c r="K896" i="16"/>
  <c r="J896" i="16"/>
  <c r="K895" i="16"/>
  <c r="J895" i="16"/>
  <c r="K894" i="16"/>
  <c r="J894" i="16"/>
  <c r="K893" i="16"/>
  <c r="J893" i="16"/>
  <c r="K892" i="16"/>
  <c r="J892" i="16"/>
  <c r="K891" i="16"/>
  <c r="J891" i="16"/>
  <c r="K890" i="16"/>
  <c r="J890" i="16"/>
  <c r="K889" i="16"/>
  <c r="J889" i="16"/>
  <c r="K888" i="16"/>
  <c r="J888" i="16"/>
  <c r="K887" i="16"/>
  <c r="J887" i="16"/>
  <c r="K886" i="16"/>
  <c r="J886" i="16"/>
  <c r="K885" i="16"/>
  <c r="J885" i="16"/>
  <c r="K884" i="16"/>
  <c r="J884" i="16"/>
  <c r="K883" i="16"/>
  <c r="J883" i="16"/>
  <c r="K882" i="16"/>
  <c r="J882" i="16"/>
  <c r="K881" i="16"/>
  <c r="J881" i="16"/>
  <c r="K880" i="16"/>
  <c r="J880" i="16"/>
  <c r="K879" i="16"/>
  <c r="J879" i="16"/>
  <c r="K878" i="16"/>
  <c r="J878" i="16"/>
  <c r="K877" i="16"/>
  <c r="J877" i="16"/>
  <c r="K876" i="16"/>
  <c r="J876" i="16"/>
  <c r="K875" i="16"/>
  <c r="J875" i="16"/>
  <c r="K874" i="16"/>
  <c r="J874" i="16"/>
  <c r="K873" i="16"/>
  <c r="J873" i="16"/>
  <c r="K872" i="16"/>
  <c r="J872" i="16"/>
  <c r="K871" i="16"/>
  <c r="J871" i="16"/>
  <c r="K870" i="16"/>
  <c r="J870" i="16"/>
  <c r="K869" i="16"/>
  <c r="J869" i="16"/>
  <c r="K868" i="16"/>
  <c r="J868" i="16"/>
  <c r="K867" i="16"/>
  <c r="J867" i="16"/>
  <c r="K866" i="16"/>
  <c r="J866" i="16"/>
  <c r="K865" i="16"/>
  <c r="J865" i="16"/>
  <c r="K864" i="16"/>
  <c r="J864" i="16"/>
  <c r="K863" i="16"/>
  <c r="J863" i="16"/>
  <c r="K862" i="16"/>
  <c r="J862" i="16"/>
  <c r="K861" i="16"/>
  <c r="J861" i="16"/>
  <c r="K860" i="16"/>
  <c r="J860" i="16"/>
  <c r="K859" i="16"/>
  <c r="J859" i="16"/>
  <c r="K858" i="16"/>
  <c r="J858" i="16"/>
  <c r="K857" i="16"/>
  <c r="J857" i="16"/>
  <c r="K856" i="16"/>
  <c r="J856" i="16"/>
  <c r="K855" i="16"/>
  <c r="J855" i="16"/>
  <c r="K854" i="16"/>
  <c r="J854" i="16"/>
  <c r="K853" i="16"/>
  <c r="J853" i="16"/>
  <c r="K852" i="16"/>
  <c r="J852" i="16"/>
  <c r="K851" i="16"/>
  <c r="J851" i="16"/>
  <c r="K850" i="16"/>
  <c r="J850" i="16"/>
  <c r="K849" i="16"/>
  <c r="J849" i="16"/>
  <c r="K848" i="16"/>
  <c r="J848" i="16"/>
  <c r="K847" i="16"/>
  <c r="J847" i="16"/>
  <c r="K846" i="16"/>
  <c r="J846" i="16"/>
  <c r="K845" i="16"/>
  <c r="J845" i="16"/>
  <c r="K844" i="16"/>
  <c r="J844" i="16"/>
  <c r="K843" i="16"/>
  <c r="J843" i="16"/>
  <c r="K842" i="16"/>
  <c r="J842" i="16"/>
  <c r="K841" i="16"/>
  <c r="J841" i="16"/>
  <c r="K840" i="16"/>
  <c r="J840" i="16"/>
  <c r="K839" i="16"/>
  <c r="J839" i="16"/>
  <c r="K838" i="16"/>
  <c r="J838" i="16"/>
  <c r="K837" i="16"/>
  <c r="J837" i="16"/>
  <c r="K836" i="16"/>
  <c r="J836" i="16"/>
  <c r="K835" i="16"/>
  <c r="J835" i="16"/>
  <c r="K834" i="16"/>
  <c r="J834" i="16"/>
  <c r="K833" i="16"/>
  <c r="J833" i="16"/>
  <c r="K832" i="16"/>
  <c r="J832" i="16"/>
  <c r="K831" i="16"/>
  <c r="J831" i="16"/>
  <c r="K830" i="16"/>
  <c r="J830" i="16"/>
  <c r="K829" i="16"/>
  <c r="J829" i="16"/>
  <c r="K828" i="16"/>
  <c r="J828" i="16"/>
  <c r="K827" i="16"/>
  <c r="J827" i="16"/>
  <c r="K826" i="16"/>
  <c r="J826" i="16"/>
  <c r="K825" i="16"/>
  <c r="J825" i="16"/>
  <c r="K824" i="16"/>
  <c r="J824" i="16"/>
  <c r="K823" i="16"/>
  <c r="J823" i="16"/>
  <c r="K822" i="16"/>
  <c r="J822" i="16"/>
  <c r="K821" i="16"/>
  <c r="J821" i="16"/>
  <c r="K820" i="16"/>
  <c r="J820" i="16"/>
  <c r="K819" i="16"/>
  <c r="J819" i="16"/>
  <c r="K818" i="16"/>
  <c r="J818" i="16"/>
  <c r="K817" i="16"/>
  <c r="J817" i="16"/>
  <c r="K816" i="16"/>
  <c r="J816" i="16"/>
  <c r="K815" i="16"/>
  <c r="J815" i="16"/>
  <c r="K814" i="16"/>
  <c r="J814" i="16"/>
  <c r="K813" i="16"/>
  <c r="J813" i="16"/>
  <c r="K812" i="16"/>
  <c r="J812" i="16"/>
  <c r="K811" i="16"/>
  <c r="J811" i="16"/>
  <c r="K810" i="16"/>
  <c r="J810" i="16"/>
  <c r="K809" i="16"/>
  <c r="J809" i="16"/>
  <c r="K808" i="16"/>
  <c r="J808" i="16"/>
  <c r="K807" i="16"/>
  <c r="J807" i="16"/>
  <c r="K806" i="16"/>
  <c r="J806" i="16"/>
  <c r="K805" i="16"/>
  <c r="J805" i="16"/>
  <c r="K804" i="16"/>
  <c r="J804" i="16"/>
  <c r="K803" i="16"/>
  <c r="J803" i="16"/>
  <c r="K802" i="16"/>
  <c r="J802" i="16"/>
  <c r="K801" i="16"/>
  <c r="J801" i="16"/>
  <c r="K800" i="16"/>
  <c r="J800" i="16"/>
  <c r="K799" i="16"/>
  <c r="J799" i="16"/>
  <c r="K798" i="16"/>
  <c r="J798" i="16"/>
  <c r="K797" i="16"/>
  <c r="J797" i="16"/>
  <c r="K796" i="16"/>
  <c r="J796" i="16"/>
  <c r="K795" i="16"/>
  <c r="J795" i="16"/>
  <c r="K794" i="16"/>
  <c r="J794" i="16"/>
  <c r="K793" i="16"/>
  <c r="J793" i="16"/>
  <c r="K792" i="16"/>
  <c r="J792" i="16"/>
  <c r="K791" i="16"/>
  <c r="J791" i="16"/>
  <c r="K790" i="16"/>
  <c r="J790" i="16"/>
  <c r="K789" i="16"/>
  <c r="J789" i="16"/>
  <c r="K788" i="16"/>
  <c r="J788" i="16"/>
  <c r="K787" i="16"/>
  <c r="J787" i="16"/>
  <c r="K786" i="16"/>
  <c r="J786" i="16"/>
  <c r="K785" i="16"/>
  <c r="J785" i="16"/>
  <c r="K784" i="16"/>
  <c r="J784" i="16"/>
  <c r="K783" i="16"/>
  <c r="J783" i="16"/>
  <c r="K782" i="16"/>
  <c r="J782" i="16"/>
  <c r="K781" i="16"/>
  <c r="J781" i="16"/>
  <c r="K780" i="16"/>
  <c r="J780" i="16"/>
  <c r="K779" i="16"/>
  <c r="J779" i="16"/>
  <c r="K778" i="16"/>
  <c r="J778" i="16"/>
  <c r="K777" i="16"/>
  <c r="J777" i="16"/>
  <c r="K776" i="16"/>
  <c r="J776" i="16"/>
  <c r="K775" i="16"/>
  <c r="J775" i="16"/>
  <c r="K774" i="16"/>
  <c r="J774" i="16"/>
  <c r="K773" i="16"/>
  <c r="J773" i="16"/>
  <c r="K772" i="16"/>
  <c r="J772" i="16"/>
  <c r="K771" i="16"/>
  <c r="J771" i="16"/>
  <c r="K770" i="16"/>
  <c r="J770" i="16"/>
  <c r="K769" i="16"/>
  <c r="J769" i="16"/>
  <c r="K768" i="16"/>
  <c r="J768" i="16"/>
  <c r="K767" i="16"/>
  <c r="J767" i="16"/>
  <c r="K766" i="16"/>
  <c r="J766" i="16"/>
  <c r="K765" i="16"/>
  <c r="J765" i="16"/>
  <c r="K764" i="16"/>
  <c r="J764" i="16"/>
  <c r="K763" i="16"/>
  <c r="J763" i="16"/>
  <c r="K762" i="16"/>
  <c r="J762" i="16"/>
  <c r="K761" i="16"/>
  <c r="J761" i="16"/>
  <c r="K760" i="16"/>
  <c r="J760" i="16"/>
  <c r="K759" i="16"/>
  <c r="J759" i="16"/>
  <c r="K758" i="16"/>
  <c r="J758" i="16"/>
  <c r="K757" i="16"/>
  <c r="J757" i="16"/>
  <c r="K756" i="16"/>
  <c r="J756" i="16"/>
  <c r="K755" i="16"/>
  <c r="J755" i="16"/>
  <c r="K754" i="16"/>
  <c r="J754" i="16"/>
  <c r="K753" i="16"/>
  <c r="J753" i="16"/>
  <c r="K752" i="16"/>
  <c r="J752" i="16"/>
  <c r="K751" i="16"/>
  <c r="J751" i="16"/>
  <c r="K750" i="16"/>
  <c r="J750" i="16"/>
  <c r="K749" i="16"/>
  <c r="J749" i="16"/>
  <c r="K748" i="16"/>
  <c r="J748" i="16"/>
  <c r="K747" i="16"/>
  <c r="J747" i="16"/>
  <c r="K746" i="16"/>
  <c r="J746" i="16"/>
  <c r="K745" i="16"/>
  <c r="J745" i="16"/>
  <c r="K744" i="16"/>
  <c r="J744" i="16"/>
  <c r="K743" i="16"/>
  <c r="J743" i="16"/>
  <c r="K742" i="16"/>
  <c r="J742" i="16"/>
  <c r="K741" i="16"/>
  <c r="J741" i="16"/>
  <c r="K740" i="16"/>
  <c r="J740" i="16"/>
  <c r="K739" i="16"/>
  <c r="J739" i="16"/>
  <c r="K738" i="16"/>
  <c r="J738" i="16"/>
  <c r="K737" i="16"/>
  <c r="J737" i="16"/>
  <c r="K736" i="16"/>
  <c r="J736" i="16"/>
  <c r="K735" i="16"/>
  <c r="J735" i="16"/>
  <c r="K734" i="16"/>
  <c r="J734" i="16"/>
  <c r="K733" i="16"/>
  <c r="J733" i="16"/>
  <c r="K732" i="16"/>
  <c r="J732" i="16"/>
  <c r="K731" i="16"/>
  <c r="J731" i="16"/>
  <c r="K730" i="16"/>
  <c r="J730" i="16"/>
  <c r="K729" i="16"/>
  <c r="J729" i="16"/>
  <c r="K728" i="16"/>
  <c r="J728" i="16"/>
  <c r="K727" i="16"/>
  <c r="J727" i="16"/>
  <c r="K726" i="16"/>
  <c r="J726" i="16"/>
  <c r="K725" i="16"/>
  <c r="J725" i="16"/>
  <c r="K724" i="16"/>
  <c r="J724" i="16"/>
  <c r="K723" i="16"/>
  <c r="J723" i="16"/>
  <c r="K722" i="16"/>
  <c r="J722" i="16"/>
  <c r="K721" i="16"/>
  <c r="J721" i="16"/>
  <c r="K720" i="16"/>
  <c r="J720" i="16"/>
  <c r="K719" i="16"/>
  <c r="J719" i="16"/>
  <c r="K718" i="16"/>
  <c r="J718" i="16"/>
  <c r="K717" i="16"/>
  <c r="J717" i="16"/>
  <c r="K716" i="16"/>
  <c r="J716" i="16"/>
  <c r="K715" i="16"/>
  <c r="J715" i="16"/>
  <c r="K714" i="16"/>
  <c r="J714" i="16"/>
  <c r="K713" i="16"/>
  <c r="J713" i="16"/>
  <c r="K712" i="16"/>
  <c r="J712" i="16"/>
  <c r="K711" i="16"/>
  <c r="J711" i="16"/>
  <c r="K710" i="16"/>
  <c r="J710" i="16"/>
  <c r="K709" i="16"/>
  <c r="J709" i="16"/>
  <c r="K708" i="16"/>
  <c r="J708" i="16"/>
  <c r="K707" i="16"/>
  <c r="J707" i="16"/>
  <c r="K706" i="16"/>
  <c r="J706" i="16"/>
  <c r="K705" i="16"/>
  <c r="J705" i="16"/>
  <c r="K704" i="16"/>
  <c r="J704" i="16"/>
  <c r="K703" i="16"/>
  <c r="J703" i="16"/>
  <c r="K702" i="16"/>
  <c r="J702" i="16"/>
  <c r="K701" i="16"/>
  <c r="J701" i="16"/>
  <c r="K700" i="16"/>
  <c r="J700" i="16"/>
  <c r="K699" i="16"/>
  <c r="J699" i="16"/>
  <c r="K698" i="16"/>
  <c r="J698" i="16"/>
  <c r="K697" i="16"/>
  <c r="J697" i="16"/>
  <c r="K696" i="16"/>
  <c r="J696" i="16"/>
  <c r="K695" i="16"/>
  <c r="J695" i="16"/>
  <c r="K694" i="16"/>
  <c r="J694" i="16"/>
  <c r="K693" i="16"/>
  <c r="J693" i="16"/>
  <c r="K692" i="16"/>
  <c r="J692" i="16"/>
  <c r="K691" i="16"/>
  <c r="J691" i="16"/>
  <c r="K690" i="16"/>
  <c r="J690" i="16"/>
  <c r="K689" i="16"/>
  <c r="J689" i="16"/>
  <c r="K688" i="16"/>
  <c r="J688" i="16"/>
  <c r="K687" i="16"/>
  <c r="J687" i="16"/>
  <c r="K686" i="16"/>
  <c r="J686" i="16"/>
  <c r="K685" i="16"/>
  <c r="J685" i="16"/>
  <c r="K684" i="16"/>
  <c r="J684" i="16"/>
  <c r="K683" i="16"/>
  <c r="J683" i="16"/>
  <c r="K682" i="16"/>
  <c r="J682" i="16"/>
  <c r="K681" i="16"/>
  <c r="J681" i="16"/>
  <c r="K680" i="16"/>
  <c r="J680" i="16"/>
  <c r="K679" i="16"/>
  <c r="J679" i="16"/>
  <c r="K678" i="16"/>
  <c r="J678" i="16"/>
  <c r="K677" i="16"/>
  <c r="J677" i="16"/>
  <c r="K676" i="16"/>
  <c r="J676" i="16"/>
  <c r="K675" i="16"/>
  <c r="J675" i="16"/>
  <c r="K674" i="16"/>
  <c r="J674" i="16"/>
  <c r="K673" i="16"/>
  <c r="J673" i="16"/>
  <c r="K672" i="16"/>
  <c r="J672" i="16"/>
  <c r="K671" i="16"/>
  <c r="J671" i="16"/>
  <c r="K670" i="16"/>
  <c r="J670" i="16"/>
  <c r="K669" i="16"/>
  <c r="J669" i="16"/>
  <c r="K668" i="16"/>
  <c r="J668" i="16"/>
  <c r="K667" i="16"/>
  <c r="J667" i="16"/>
  <c r="K666" i="16"/>
  <c r="J666" i="16"/>
  <c r="K665" i="16"/>
  <c r="J665" i="16"/>
  <c r="K664" i="16"/>
  <c r="J664" i="16"/>
  <c r="K663" i="16"/>
  <c r="J663" i="16"/>
  <c r="K662" i="16"/>
  <c r="J662" i="16"/>
  <c r="K661" i="16"/>
  <c r="J661" i="16"/>
  <c r="K660" i="16"/>
  <c r="J660" i="16"/>
  <c r="K659" i="16"/>
  <c r="J659" i="16"/>
  <c r="K658" i="16"/>
  <c r="J658" i="16"/>
  <c r="K657" i="16"/>
  <c r="J657" i="16"/>
  <c r="K656" i="16"/>
  <c r="J656" i="16"/>
  <c r="K655" i="16"/>
  <c r="J655" i="16"/>
  <c r="K654" i="16"/>
  <c r="J654" i="16"/>
  <c r="K653" i="16"/>
  <c r="J653" i="16"/>
  <c r="K652" i="16"/>
  <c r="J652" i="16"/>
  <c r="K651" i="16"/>
  <c r="J651" i="16"/>
  <c r="K650" i="16"/>
  <c r="J650" i="16"/>
  <c r="K649" i="16"/>
  <c r="J649" i="16"/>
  <c r="K648" i="16"/>
  <c r="J648" i="16"/>
  <c r="K647" i="16"/>
  <c r="J647" i="16"/>
  <c r="K646" i="16"/>
  <c r="J646" i="16"/>
  <c r="K645" i="16"/>
  <c r="J645" i="16"/>
  <c r="K644" i="16"/>
  <c r="J644" i="16"/>
  <c r="K643" i="16"/>
  <c r="J643" i="16"/>
  <c r="K642" i="16"/>
  <c r="J642" i="16"/>
  <c r="K641" i="16"/>
  <c r="J641" i="16"/>
  <c r="K640" i="16"/>
  <c r="J640" i="16"/>
  <c r="K639" i="16"/>
  <c r="J639" i="16"/>
  <c r="K638" i="16"/>
  <c r="J638" i="16"/>
  <c r="K637" i="16"/>
  <c r="J637" i="16"/>
  <c r="K636" i="16"/>
  <c r="J636" i="16"/>
  <c r="K635" i="16"/>
  <c r="J635" i="16"/>
  <c r="K634" i="16"/>
  <c r="J634" i="16"/>
  <c r="K633" i="16"/>
  <c r="J633" i="16"/>
  <c r="K632" i="16"/>
  <c r="J632" i="16"/>
  <c r="K631" i="16"/>
  <c r="J631" i="16"/>
  <c r="K630" i="16"/>
  <c r="J630" i="16"/>
  <c r="K629" i="16"/>
  <c r="J629" i="16"/>
  <c r="K628" i="16"/>
  <c r="J628" i="16"/>
  <c r="K627" i="16"/>
  <c r="J627" i="16"/>
  <c r="K626" i="16"/>
  <c r="J626" i="16"/>
  <c r="K625" i="16"/>
  <c r="J625" i="16"/>
  <c r="K624" i="16"/>
  <c r="J624" i="16"/>
  <c r="K623" i="16"/>
  <c r="J623" i="16"/>
  <c r="K622" i="16"/>
  <c r="J622" i="16"/>
  <c r="K621" i="16"/>
  <c r="J621" i="16"/>
  <c r="K620" i="16"/>
  <c r="J620" i="16"/>
  <c r="K619" i="16"/>
  <c r="J619" i="16"/>
  <c r="K618" i="16"/>
  <c r="J618" i="16"/>
  <c r="K617" i="16"/>
  <c r="J617" i="16"/>
  <c r="K616" i="16"/>
  <c r="J616" i="16"/>
  <c r="K615" i="16"/>
  <c r="J615" i="16"/>
  <c r="K614" i="16"/>
  <c r="J614" i="16"/>
  <c r="K613" i="16"/>
  <c r="J613" i="16"/>
  <c r="K612" i="16"/>
  <c r="J612" i="16"/>
  <c r="K611" i="16"/>
  <c r="J611" i="16"/>
  <c r="K610" i="16"/>
  <c r="J610" i="16"/>
  <c r="K609" i="16"/>
  <c r="J609" i="16"/>
  <c r="K608" i="16"/>
  <c r="J608" i="16"/>
  <c r="K607" i="16"/>
  <c r="J607" i="16"/>
  <c r="K606" i="16"/>
  <c r="J606" i="16"/>
  <c r="K605" i="16"/>
  <c r="J605" i="16"/>
  <c r="K604" i="16"/>
  <c r="J604" i="16"/>
  <c r="K603" i="16"/>
  <c r="J603" i="16"/>
  <c r="K602" i="16"/>
  <c r="J602" i="16"/>
  <c r="K601" i="16"/>
  <c r="J601" i="16"/>
  <c r="K600" i="16"/>
  <c r="J600" i="16"/>
  <c r="K599" i="16"/>
  <c r="J599" i="16"/>
  <c r="K598" i="16"/>
  <c r="J598" i="16"/>
  <c r="K597" i="16"/>
  <c r="J597" i="16"/>
  <c r="K596" i="16"/>
  <c r="J596" i="16"/>
  <c r="K595" i="16"/>
  <c r="J595" i="16"/>
  <c r="K594" i="16"/>
  <c r="J594" i="16"/>
  <c r="K593" i="16"/>
  <c r="J593" i="16"/>
  <c r="K592" i="16"/>
  <c r="J592" i="16"/>
  <c r="K591" i="16"/>
  <c r="J591" i="16"/>
  <c r="K590" i="16"/>
  <c r="J590" i="16"/>
  <c r="K589" i="16"/>
  <c r="J589" i="16"/>
  <c r="K588" i="16"/>
  <c r="J588" i="16"/>
  <c r="K587" i="16"/>
  <c r="J587" i="16"/>
  <c r="K586" i="16"/>
  <c r="J586" i="16"/>
  <c r="K585" i="16"/>
  <c r="J585" i="16"/>
  <c r="K584" i="16"/>
  <c r="J584" i="16"/>
  <c r="K583" i="16"/>
  <c r="J583" i="16"/>
  <c r="K582" i="16"/>
  <c r="J582" i="16"/>
  <c r="K581" i="16"/>
  <c r="J581" i="16"/>
  <c r="K580" i="16"/>
  <c r="J580" i="16"/>
  <c r="K579" i="16"/>
  <c r="J579" i="16"/>
  <c r="K578" i="16"/>
  <c r="J578" i="16"/>
  <c r="K577" i="16"/>
  <c r="J577" i="16"/>
  <c r="K576" i="16"/>
  <c r="J576" i="16"/>
  <c r="K575" i="16"/>
  <c r="J575" i="16"/>
  <c r="K574" i="16"/>
  <c r="J574" i="16"/>
  <c r="K573" i="16"/>
  <c r="J573" i="16"/>
  <c r="K572" i="16"/>
  <c r="J572" i="16"/>
  <c r="K571" i="16"/>
  <c r="J571" i="16"/>
  <c r="K570" i="16"/>
  <c r="J570" i="16"/>
  <c r="K569" i="16"/>
  <c r="J569" i="16"/>
  <c r="K568" i="16"/>
  <c r="J568" i="16"/>
  <c r="K567" i="16"/>
  <c r="J567" i="16"/>
  <c r="K566" i="16"/>
  <c r="J566" i="16"/>
  <c r="K565" i="16"/>
  <c r="J565" i="16"/>
  <c r="K564" i="16"/>
  <c r="J564" i="16"/>
  <c r="K563" i="16"/>
  <c r="J563" i="16"/>
  <c r="K562" i="16"/>
  <c r="J562" i="16"/>
  <c r="K561" i="16"/>
  <c r="J561" i="16"/>
  <c r="K560" i="16"/>
  <c r="J560" i="16"/>
  <c r="K559" i="16"/>
  <c r="J559" i="16"/>
  <c r="K558" i="16"/>
  <c r="J558" i="16"/>
  <c r="K557" i="16"/>
  <c r="J557" i="16"/>
  <c r="K556" i="16"/>
  <c r="J556" i="16"/>
  <c r="K555" i="16"/>
  <c r="J555" i="16"/>
  <c r="K554" i="16"/>
  <c r="J554" i="16"/>
  <c r="K553" i="16"/>
  <c r="J553" i="16"/>
  <c r="K552" i="16"/>
  <c r="J552" i="16"/>
  <c r="K551" i="16"/>
  <c r="J551" i="16"/>
  <c r="K550" i="16"/>
  <c r="J550" i="16"/>
  <c r="K549" i="16"/>
  <c r="J549" i="16"/>
  <c r="K548" i="16"/>
  <c r="J548" i="16"/>
  <c r="K547" i="16"/>
  <c r="J547" i="16"/>
  <c r="K546" i="16"/>
  <c r="J546" i="16"/>
  <c r="K545" i="16"/>
  <c r="J545" i="16"/>
  <c r="K544" i="16"/>
  <c r="J544" i="16"/>
  <c r="K543" i="16"/>
  <c r="J543" i="16"/>
  <c r="K542" i="16"/>
  <c r="J542" i="16"/>
  <c r="K541" i="16"/>
  <c r="J541" i="16"/>
  <c r="K540" i="16"/>
  <c r="J540" i="16"/>
  <c r="K539" i="16"/>
  <c r="J539" i="16"/>
  <c r="K538" i="16"/>
  <c r="J538" i="16"/>
  <c r="K537" i="16"/>
  <c r="J537" i="16"/>
  <c r="K536" i="16"/>
  <c r="J536" i="16"/>
  <c r="K535" i="16"/>
  <c r="J535" i="16"/>
  <c r="K534" i="16"/>
  <c r="J534" i="16"/>
  <c r="K533" i="16"/>
  <c r="J533" i="16"/>
  <c r="K532" i="16"/>
  <c r="J532" i="16"/>
  <c r="K531" i="16"/>
  <c r="J531" i="16"/>
  <c r="K530" i="16"/>
  <c r="J530" i="16"/>
  <c r="K529" i="16"/>
  <c r="J529" i="16"/>
  <c r="K528" i="16"/>
  <c r="J528" i="16"/>
  <c r="K527" i="16"/>
  <c r="J527" i="16"/>
  <c r="K526" i="16"/>
  <c r="J526" i="16"/>
  <c r="K525" i="16"/>
  <c r="J525" i="16"/>
  <c r="K524" i="16"/>
  <c r="J524" i="16"/>
  <c r="K523" i="16"/>
  <c r="J523" i="16"/>
  <c r="K522" i="16"/>
  <c r="J522" i="16"/>
  <c r="K521" i="16"/>
  <c r="J521" i="16"/>
  <c r="K520" i="16"/>
  <c r="J520" i="16"/>
  <c r="K519" i="16"/>
  <c r="J519" i="16"/>
  <c r="K518" i="16"/>
  <c r="J518" i="16"/>
  <c r="K517" i="16"/>
  <c r="J517" i="16"/>
  <c r="K516" i="16"/>
  <c r="J516" i="16"/>
  <c r="K515" i="16"/>
  <c r="J515" i="16"/>
  <c r="K514" i="16"/>
  <c r="J514" i="16"/>
  <c r="K513" i="16"/>
  <c r="J513" i="16"/>
  <c r="K512" i="16"/>
  <c r="J512" i="16"/>
  <c r="K511" i="16"/>
  <c r="J511" i="16"/>
  <c r="K510" i="16"/>
  <c r="J510" i="16"/>
  <c r="K509" i="16"/>
  <c r="J509" i="16"/>
  <c r="K508" i="16"/>
  <c r="J508" i="16"/>
  <c r="K507" i="16"/>
  <c r="J507" i="16"/>
  <c r="K506" i="16"/>
  <c r="J506" i="16"/>
  <c r="K505" i="16"/>
  <c r="J505" i="16"/>
  <c r="K504" i="16"/>
  <c r="J504" i="16"/>
  <c r="K503" i="16"/>
  <c r="J503" i="16"/>
  <c r="K502" i="16"/>
  <c r="J502" i="16"/>
  <c r="K501" i="16"/>
  <c r="J501" i="16"/>
  <c r="K500" i="16"/>
  <c r="J500" i="16"/>
  <c r="K499" i="16"/>
  <c r="J499" i="16"/>
  <c r="K498" i="16"/>
  <c r="J498" i="16"/>
  <c r="K497" i="16"/>
  <c r="J497" i="16"/>
  <c r="K496" i="16"/>
  <c r="J496" i="16"/>
  <c r="K495" i="16"/>
  <c r="J495" i="16"/>
  <c r="K494" i="16"/>
  <c r="J494" i="16"/>
  <c r="K493" i="16"/>
  <c r="J493" i="16"/>
  <c r="K492" i="16"/>
  <c r="J492" i="16"/>
  <c r="K491" i="16"/>
  <c r="J491" i="16"/>
  <c r="K490" i="16"/>
  <c r="J490" i="16"/>
  <c r="K489" i="16"/>
  <c r="J489" i="16"/>
  <c r="K488" i="16"/>
  <c r="J488" i="16"/>
  <c r="K487" i="16"/>
  <c r="J487" i="16"/>
  <c r="K486" i="16"/>
  <c r="J486" i="16"/>
  <c r="K485" i="16"/>
  <c r="J485" i="16"/>
  <c r="K484" i="16"/>
  <c r="J484" i="16"/>
  <c r="K483" i="16"/>
  <c r="J483" i="16"/>
  <c r="K482" i="16"/>
  <c r="J482" i="16"/>
  <c r="K481" i="16"/>
  <c r="J481" i="16"/>
  <c r="K480" i="16"/>
  <c r="J480" i="16"/>
  <c r="K479" i="16"/>
  <c r="J479" i="16"/>
  <c r="K478" i="16"/>
  <c r="J478" i="16"/>
  <c r="K477" i="16"/>
  <c r="J477" i="16"/>
  <c r="K476" i="16"/>
  <c r="J476" i="16"/>
  <c r="K475" i="16"/>
  <c r="J475" i="16"/>
  <c r="K474" i="16"/>
  <c r="J474" i="16"/>
  <c r="K473" i="16"/>
  <c r="J473" i="16"/>
  <c r="K472" i="16"/>
  <c r="J472" i="16"/>
  <c r="K471" i="16"/>
  <c r="J471" i="16"/>
  <c r="K470" i="16"/>
  <c r="J470" i="16"/>
  <c r="K469" i="16"/>
  <c r="J469" i="16"/>
  <c r="K468" i="16"/>
  <c r="J468" i="16"/>
  <c r="K467" i="16"/>
  <c r="J467" i="16"/>
  <c r="K466" i="16"/>
  <c r="J466" i="16"/>
  <c r="K465" i="16"/>
  <c r="J465" i="16"/>
  <c r="K464" i="16"/>
  <c r="J464" i="16"/>
  <c r="K463" i="16"/>
  <c r="J463" i="16"/>
  <c r="K462" i="16"/>
  <c r="J462" i="16"/>
  <c r="K461" i="16"/>
  <c r="J461" i="16"/>
  <c r="K460" i="16"/>
  <c r="J460" i="16"/>
  <c r="K459" i="16"/>
  <c r="J459" i="16"/>
  <c r="K458" i="16"/>
  <c r="J458" i="16"/>
  <c r="K457" i="16"/>
  <c r="J457" i="16"/>
  <c r="K456" i="16"/>
  <c r="J456" i="16"/>
  <c r="K455" i="16"/>
  <c r="J455" i="16"/>
  <c r="K454" i="16"/>
  <c r="J454" i="16"/>
  <c r="K453" i="16"/>
  <c r="J453" i="16"/>
  <c r="K452" i="16"/>
  <c r="J452" i="16"/>
  <c r="K451" i="16"/>
  <c r="J451" i="16"/>
  <c r="K450" i="16"/>
  <c r="J450" i="16"/>
  <c r="K449" i="16"/>
  <c r="J449" i="16"/>
  <c r="K448" i="16"/>
  <c r="J448" i="16"/>
  <c r="K447" i="16"/>
  <c r="J447" i="16"/>
  <c r="K446" i="16"/>
  <c r="J446" i="16"/>
  <c r="K445" i="16"/>
  <c r="J445" i="16"/>
  <c r="K444" i="16"/>
  <c r="J444" i="16"/>
  <c r="K443" i="16"/>
  <c r="J443" i="16"/>
  <c r="K442" i="16"/>
  <c r="J442" i="16"/>
  <c r="K441" i="16"/>
  <c r="J441" i="16"/>
  <c r="K440" i="16"/>
  <c r="J440" i="16"/>
  <c r="K439" i="16"/>
  <c r="J439" i="16"/>
  <c r="K438" i="16"/>
  <c r="J438" i="16"/>
  <c r="K437" i="16"/>
  <c r="J437" i="16"/>
  <c r="K436" i="16"/>
  <c r="J436" i="16"/>
  <c r="K435" i="16"/>
  <c r="J435" i="16"/>
  <c r="K434" i="16"/>
  <c r="J434" i="16"/>
  <c r="K433" i="16"/>
  <c r="J433" i="16"/>
  <c r="K432" i="16"/>
  <c r="J432" i="16"/>
  <c r="K431" i="16"/>
  <c r="J431" i="16"/>
  <c r="K430" i="16"/>
  <c r="J430" i="16"/>
  <c r="K429" i="16"/>
  <c r="J429" i="16"/>
  <c r="K428" i="16"/>
  <c r="J428" i="16"/>
  <c r="K427" i="16"/>
  <c r="J427" i="16"/>
  <c r="K426" i="16"/>
  <c r="J426" i="16"/>
  <c r="K425" i="16"/>
  <c r="J425" i="16"/>
  <c r="K424" i="16"/>
  <c r="J424" i="16"/>
  <c r="K423" i="16"/>
  <c r="J423" i="16"/>
  <c r="K422" i="16"/>
  <c r="J422" i="16"/>
  <c r="K421" i="16"/>
  <c r="J421" i="16"/>
  <c r="K420" i="16"/>
  <c r="J420" i="16"/>
  <c r="K419" i="16"/>
  <c r="J419" i="16"/>
  <c r="K418" i="16"/>
  <c r="J418" i="16"/>
  <c r="K417" i="16"/>
  <c r="J417" i="16"/>
  <c r="K416" i="16"/>
  <c r="J416" i="16"/>
  <c r="K415" i="16"/>
  <c r="J415" i="16"/>
  <c r="K414" i="16"/>
  <c r="J414" i="16"/>
  <c r="K413" i="16"/>
  <c r="J413" i="16"/>
  <c r="K412" i="16"/>
  <c r="J412" i="16"/>
  <c r="K411" i="16"/>
  <c r="J411" i="16"/>
  <c r="K410" i="16"/>
  <c r="J410" i="16"/>
  <c r="K409" i="16"/>
  <c r="J409" i="16"/>
  <c r="K408" i="16"/>
  <c r="J408" i="16"/>
  <c r="K407" i="16"/>
  <c r="J407" i="16"/>
  <c r="K406" i="16"/>
  <c r="J406" i="16"/>
  <c r="K405" i="16"/>
  <c r="J405" i="16"/>
  <c r="K404" i="16"/>
  <c r="J404" i="16"/>
  <c r="K403" i="16"/>
  <c r="J403" i="16"/>
  <c r="K402" i="16"/>
  <c r="J402" i="16"/>
  <c r="K401" i="16"/>
  <c r="J401" i="16"/>
  <c r="K400" i="16"/>
  <c r="J400" i="16"/>
  <c r="K399" i="16"/>
  <c r="J399" i="16"/>
  <c r="K398" i="16"/>
  <c r="J398" i="16"/>
  <c r="K397" i="16"/>
  <c r="J397" i="16"/>
  <c r="K396" i="16"/>
  <c r="J396" i="16"/>
  <c r="K395" i="16"/>
  <c r="J395" i="16"/>
  <c r="K394" i="16"/>
  <c r="J394" i="16"/>
  <c r="K393" i="16"/>
  <c r="J393" i="16"/>
  <c r="K392" i="16"/>
  <c r="J392" i="16"/>
  <c r="K391" i="16"/>
  <c r="J391" i="16"/>
  <c r="K390" i="16"/>
  <c r="J390" i="16"/>
  <c r="K389" i="16"/>
  <c r="J389" i="16"/>
  <c r="K388" i="16"/>
  <c r="J388" i="16"/>
  <c r="K387" i="16"/>
  <c r="J387" i="16"/>
  <c r="K386" i="16"/>
  <c r="J386" i="16"/>
  <c r="K385" i="16"/>
  <c r="J385" i="16"/>
  <c r="K384" i="16"/>
  <c r="J384" i="16"/>
  <c r="K383" i="16"/>
  <c r="J383" i="16"/>
  <c r="K382" i="16"/>
  <c r="J382" i="16"/>
  <c r="K381" i="16"/>
  <c r="J381" i="16"/>
  <c r="K380" i="16"/>
  <c r="J380" i="16"/>
  <c r="K379" i="16"/>
  <c r="J379" i="16"/>
  <c r="K378" i="16"/>
  <c r="J378" i="16"/>
  <c r="K377" i="16"/>
  <c r="J377" i="16"/>
  <c r="K376" i="16"/>
  <c r="J376" i="16"/>
  <c r="K375" i="16"/>
  <c r="J375" i="16"/>
  <c r="K374" i="16"/>
  <c r="J374" i="16"/>
  <c r="K373" i="16"/>
  <c r="J373" i="16"/>
  <c r="K372" i="16"/>
  <c r="J372" i="16"/>
  <c r="K371" i="16"/>
  <c r="J371" i="16"/>
  <c r="K370" i="16"/>
  <c r="J370" i="16"/>
  <c r="K369" i="16"/>
  <c r="J369" i="16"/>
  <c r="K368" i="16"/>
  <c r="J368" i="16"/>
  <c r="K367" i="16"/>
  <c r="J367" i="16"/>
  <c r="K366" i="16"/>
  <c r="J366" i="16"/>
  <c r="K365" i="16"/>
  <c r="J365" i="16"/>
  <c r="K364" i="16"/>
  <c r="J364" i="16"/>
  <c r="K363" i="16"/>
  <c r="J363" i="16"/>
  <c r="K362" i="16"/>
  <c r="J362" i="16"/>
  <c r="K361" i="16"/>
  <c r="J361" i="16"/>
  <c r="K360" i="16"/>
  <c r="J360" i="16"/>
  <c r="K359" i="16"/>
  <c r="J359" i="16"/>
  <c r="K358" i="16"/>
  <c r="J358" i="16"/>
  <c r="K357" i="16"/>
  <c r="J357" i="16"/>
  <c r="K356" i="16"/>
  <c r="J356" i="16"/>
  <c r="K355" i="16"/>
  <c r="J355" i="16"/>
  <c r="K354" i="16"/>
  <c r="J354" i="16"/>
  <c r="K353" i="16"/>
  <c r="J353" i="16"/>
  <c r="K352" i="16"/>
  <c r="J352" i="16"/>
  <c r="K351" i="16"/>
  <c r="J351" i="16"/>
  <c r="K350" i="16"/>
  <c r="J350" i="16"/>
  <c r="K349" i="16"/>
  <c r="J349" i="16"/>
  <c r="K348" i="16"/>
  <c r="J348" i="16"/>
  <c r="K347" i="16"/>
  <c r="J347" i="16"/>
  <c r="K346" i="16"/>
  <c r="J346" i="16"/>
  <c r="K345" i="16"/>
  <c r="J345" i="16"/>
  <c r="K344" i="16"/>
  <c r="J344" i="16"/>
  <c r="K343" i="16"/>
  <c r="J343" i="16"/>
  <c r="K342" i="16"/>
  <c r="J342" i="16"/>
  <c r="K341" i="16"/>
  <c r="J341" i="16"/>
  <c r="K340" i="16"/>
  <c r="J340" i="16"/>
  <c r="K339" i="16"/>
  <c r="J339" i="16"/>
  <c r="K338" i="16"/>
  <c r="J338" i="16"/>
  <c r="K337" i="16"/>
  <c r="J337" i="16"/>
  <c r="K336" i="16"/>
  <c r="J336" i="16"/>
  <c r="K335" i="16"/>
  <c r="J335" i="16"/>
  <c r="K334" i="16"/>
  <c r="J334" i="16"/>
  <c r="K333" i="16"/>
  <c r="J333" i="16"/>
  <c r="K332" i="16"/>
  <c r="J332" i="16"/>
  <c r="K331" i="16"/>
  <c r="J331" i="16"/>
  <c r="K330" i="16"/>
  <c r="J330" i="16"/>
  <c r="K329" i="16"/>
  <c r="J329" i="16"/>
  <c r="K328" i="16"/>
  <c r="J328" i="16"/>
  <c r="K327" i="16"/>
  <c r="J327" i="16"/>
  <c r="K326" i="16"/>
  <c r="J326" i="16"/>
  <c r="K325" i="16"/>
  <c r="J325" i="16"/>
  <c r="K324" i="16"/>
  <c r="J324" i="16"/>
  <c r="K323" i="16"/>
  <c r="J323" i="16"/>
  <c r="K322" i="16"/>
  <c r="J322" i="16"/>
  <c r="K321" i="16"/>
  <c r="J321" i="16"/>
  <c r="K320" i="16"/>
  <c r="J320" i="16"/>
  <c r="K319" i="16"/>
  <c r="J319" i="16"/>
  <c r="K318" i="16"/>
  <c r="J318" i="16"/>
  <c r="K317" i="16"/>
  <c r="J317" i="16"/>
  <c r="K316" i="16"/>
  <c r="J316" i="16"/>
  <c r="K315" i="16"/>
  <c r="J315" i="16"/>
  <c r="K314" i="16"/>
  <c r="J314" i="16"/>
  <c r="K313" i="16"/>
  <c r="J313" i="16"/>
  <c r="K312" i="16"/>
  <c r="J312" i="16"/>
  <c r="K311" i="16"/>
  <c r="J311" i="16"/>
  <c r="K310" i="16"/>
  <c r="J310" i="16"/>
  <c r="K309" i="16"/>
  <c r="J309" i="16"/>
  <c r="K308" i="16"/>
  <c r="J308" i="16"/>
  <c r="K307" i="16"/>
  <c r="J307" i="16"/>
  <c r="K306" i="16"/>
  <c r="J306" i="16"/>
  <c r="K305" i="16"/>
  <c r="J305" i="16"/>
  <c r="K304" i="16"/>
  <c r="J304" i="16"/>
  <c r="K303" i="16"/>
  <c r="J303" i="16"/>
  <c r="K302" i="16"/>
  <c r="J302" i="16"/>
  <c r="K301" i="16"/>
  <c r="J301" i="16"/>
  <c r="K300" i="16"/>
  <c r="J300" i="16"/>
  <c r="K299" i="16"/>
  <c r="J299" i="16"/>
  <c r="K298" i="16"/>
  <c r="J298" i="16"/>
  <c r="K297" i="16"/>
  <c r="J297" i="16"/>
  <c r="K296" i="16"/>
  <c r="J296" i="16"/>
  <c r="K295" i="16"/>
  <c r="J295" i="16"/>
  <c r="K294" i="16"/>
  <c r="J294" i="16"/>
  <c r="K293" i="16"/>
  <c r="J293" i="16"/>
  <c r="K292" i="16"/>
  <c r="J292" i="16"/>
  <c r="K291" i="16"/>
  <c r="J291" i="16"/>
  <c r="K290" i="16"/>
  <c r="J290" i="16"/>
  <c r="K289" i="16"/>
  <c r="J289" i="16"/>
  <c r="K288" i="16"/>
  <c r="J288" i="16"/>
  <c r="K287" i="16"/>
  <c r="J287" i="16"/>
  <c r="K286" i="16"/>
  <c r="J286" i="16"/>
  <c r="K285" i="16"/>
  <c r="J285" i="16"/>
  <c r="K284" i="16"/>
  <c r="J284" i="16"/>
  <c r="K283" i="16"/>
  <c r="J283" i="16"/>
  <c r="K282" i="16"/>
  <c r="J282" i="16"/>
  <c r="K281" i="16"/>
  <c r="J281" i="16"/>
  <c r="K280" i="16"/>
  <c r="J280" i="16"/>
  <c r="K279" i="16"/>
  <c r="J279" i="16"/>
  <c r="K278" i="16"/>
  <c r="J278" i="16"/>
  <c r="K277" i="16"/>
  <c r="J277" i="16"/>
  <c r="K276" i="16"/>
  <c r="J276" i="16"/>
  <c r="K275" i="16"/>
  <c r="J275" i="16"/>
  <c r="K274" i="16"/>
  <c r="J274" i="16"/>
  <c r="K273" i="16"/>
  <c r="J273" i="16"/>
  <c r="K272" i="16"/>
  <c r="J272" i="16"/>
  <c r="K271" i="16"/>
  <c r="J271" i="16"/>
  <c r="K270" i="16"/>
  <c r="J270" i="16"/>
  <c r="K269" i="16"/>
  <c r="J269" i="16"/>
  <c r="K268" i="16"/>
  <c r="J268" i="16"/>
  <c r="K267" i="16"/>
  <c r="J267" i="16"/>
  <c r="K266" i="16"/>
  <c r="J266" i="16"/>
  <c r="K265" i="16"/>
  <c r="J265" i="16"/>
  <c r="K264" i="16"/>
  <c r="J264" i="16"/>
  <c r="K263" i="16"/>
  <c r="J263" i="16"/>
  <c r="K262" i="16"/>
  <c r="J262" i="16"/>
  <c r="K261" i="16"/>
  <c r="J261" i="16"/>
  <c r="K260" i="16"/>
  <c r="J260" i="16"/>
  <c r="K259" i="16"/>
  <c r="J259" i="16"/>
  <c r="K258" i="16"/>
  <c r="J258" i="16"/>
  <c r="K257" i="16"/>
  <c r="J257" i="16"/>
  <c r="K256" i="16"/>
  <c r="J256" i="16"/>
  <c r="K255" i="16"/>
  <c r="J255" i="16"/>
  <c r="K254" i="16"/>
  <c r="J254" i="16"/>
  <c r="K253" i="16"/>
  <c r="J253" i="16"/>
  <c r="K252" i="16"/>
  <c r="J252" i="16"/>
  <c r="K251" i="16"/>
  <c r="J251" i="16"/>
  <c r="K250" i="16"/>
  <c r="J250" i="16"/>
  <c r="K249" i="16"/>
  <c r="J249" i="16"/>
  <c r="K248" i="16"/>
  <c r="J248" i="16"/>
  <c r="K247" i="16"/>
  <c r="J247" i="16"/>
  <c r="K246" i="16"/>
  <c r="J246" i="16"/>
  <c r="K245" i="16"/>
  <c r="J245" i="16"/>
  <c r="K244" i="16"/>
  <c r="J244" i="16"/>
  <c r="K243" i="16"/>
  <c r="J243" i="16"/>
  <c r="K242" i="16"/>
  <c r="J242" i="16"/>
  <c r="K241" i="16"/>
  <c r="J241" i="16"/>
  <c r="K240" i="16"/>
  <c r="J240" i="16"/>
  <c r="K239" i="16"/>
  <c r="J239" i="16"/>
  <c r="K238" i="16"/>
  <c r="J238" i="16"/>
  <c r="K237" i="16"/>
  <c r="J237" i="16"/>
  <c r="K236" i="16"/>
  <c r="J236" i="16"/>
  <c r="K235" i="16"/>
  <c r="J235" i="16"/>
  <c r="K234" i="16"/>
  <c r="J234" i="16"/>
  <c r="K233" i="16"/>
  <c r="J233" i="16"/>
  <c r="K232" i="16"/>
  <c r="J232" i="16"/>
  <c r="K231" i="16"/>
  <c r="J231" i="16"/>
  <c r="K230" i="16"/>
  <c r="J230" i="16"/>
  <c r="K229" i="16"/>
  <c r="J229" i="16"/>
  <c r="K228" i="16"/>
  <c r="J228" i="16"/>
  <c r="K227" i="16"/>
  <c r="J227" i="16"/>
  <c r="K226" i="16"/>
  <c r="J226" i="16"/>
  <c r="K225" i="16"/>
  <c r="J225" i="16"/>
  <c r="K224" i="16"/>
  <c r="J224" i="16"/>
  <c r="K223" i="16"/>
  <c r="J223" i="16"/>
  <c r="K222" i="16"/>
  <c r="J222" i="16"/>
  <c r="K221" i="16"/>
  <c r="J221" i="16"/>
  <c r="K220" i="16"/>
  <c r="J220" i="16"/>
  <c r="K219" i="16"/>
  <c r="J219" i="16"/>
  <c r="K218" i="16"/>
  <c r="J218" i="16"/>
  <c r="K217" i="16"/>
  <c r="J217" i="16"/>
  <c r="K216" i="16"/>
  <c r="J216" i="16"/>
  <c r="K215" i="16"/>
  <c r="J215" i="16"/>
  <c r="K214" i="16"/>
  <c r="J214" i="16"/>
  <c r="K213" i="16"/>
  <c r="J213" i="16"/>
  <c r="K212" i="16"/>
  <c r="J212" i="16"/>
  <c r="K211" i="16"/>
  <c r="J211" i="16"/>
  <c r="K210" i="16"/>
  <c r="J210" i="16"/>
  <c r="K209" i="16"/>
  <c r="J209" i="16"/>
  <c r="K208" i="16"/>
  <c r="J208" i="16"/>
  <c r="K207" i="16"/>
  <c r="J207" i="16"/>
  <c r="K206" i="16"/>
  <c r="J206" i="16"/>
  <c r="K205" i="16"/>
  <c r="J205" i="16"/>
  <c r="K204" i="16"/>
  <c r="J204" i="16"/>
  <c r="K203" i="16"/>
  <c r="J203" i="16"/>
  <c r="K202" i="16"/>
  <c r="J202" i="16"/>
  <c r="K201" i="16"/>
  <c r="J201" i="16"/>
  <c r="K200" i="16"/>
  <c r="J200" i="16"/>
  <c r="K199" i="16"/>
  <c r="J199" i="16"/>
  <c r="K198" i="16"/>
  <c r="J198" i="16"/>
  <c r="K197" i="16"/>
  <c r="J197" i="16"/>
  <c r="K196" i="16"/>
  <c r="J196" i="16"/>
  <c r="K195" i="16"/>
  <c r="J195" i="16"/>
  <c r="K194" i="16"/>
  <c r="J194" i="16"/>
  <c r="K193" i="16"/>
  <c r="J193" i="16"/>
  <c r="K192" i="16"/>
  <c r="J192" i="16"/>
  <c r="K191" i="16"/>
  <c r="J191" i="16"/>
  <c r="K190" i="16"/>
  <c r="J190" i="16"/>
  <c r="K189" i="16"/>
  <c r="J189" i="16"/>
  <c r="K188" i="16"/>
  <c r="J188" i="16"/>
  <c r="K187" i="16"/>
  <c r="J187" i="16"/>
  <c r="K186" i="16"/>
  <c r="J186" i="16"/>
  <c r="K185" i="16"/>
  <c r="J185" i="16"/>
  <c r="K184" i="16"/>
  <c r="J184" i="16"/>
  <c r="K183" i="16"/>
  <c r="J183" i="16"/>
  <c r="K182" i="16"/>
  <c r="J182" i="16"/>
  <c r="K181" i="16"/>
  <c r="J181" i="16"/>
  <c r="K180" i="16"/>
  <c r="J180" i="16"/>
  <c r="K179" i="16"/>
  <c r="J179" i="16"/>
  <c r="K178" i="16"/>
  <c r="J178" i="16"/>
  <c r="K177" i="16"/>
  <c r="J177" i="16"/>
  <c r="K176" i="16"/>
  <c r="J176" i="16"/>
  <c r="K175" i="16"/>
  <c r="J175" i="16"/>
  <c r="K174" i="16"/>
  <c r="J174" i="16"/>
  <c r="K173" i="16"/>
  <c r="J173" i="16"/>
  <c r="K172" i="16"/>
  <c r="J172" i="16"/>
  <c r="K171" i="16"/>
  <c r="J171" i="16"/>
  <c r="K170" i="16"/>
  <c r="J170" i="16"/>
  <c r="K169" i="16"/>
  <c r="J169" i="16"/>
  <c r="K168" i="16"/>
  <c r="J168" i="16"/>
  <c r="K167" i="16"/>
  <c r="J167" i="16"/>
  <c r="K166" i="16"/>
  <c r="J166" i="16"/>
  <c r="K165" i="16"/>
  <c r="J165" i="16"/>
  <c r="K164" i="16"/>
  <c r="J164" i="16"/>
  <c r="K163" i="16"/>
  <c r="J163" i="16"/>
  <c r="K162" i="16"/>
  <c r="J162" i="16"/>
  <c r="K161" i="16"/>
  <c r="J161" i="16"/>
  <c r="K160" i="16"/>
  <c r="J160" i="16"/>
  <c r="K159" i="16"/>
  <c r="J159" i="16"/>
  <c r="K158" i="16"/>
  <c r="J158" i="16"/>
  <c r="K157" i="16"/>
  <c r="J157" i="16"/>
  <c r="K156" i="16"/>
  <c r="J156" i="16"/>
  <c r="K155" i="16"/>
  <c r="J155" i="16"/>
  <c r="K154" i="16"/>
  <c r="J154" i="16"/>
  <c r="K153" i="16"/>
  <c r="J153" i="16"/>
  <c r="K152" i="16"/>
  <c r="J152" i="16"/>
  <c r="K151" i="16"/>
  <c r="J151" i="16"/>
  <c r="K150" i="16"/>
  <c r="J150" i="16"/>
  <c r="K149" i="16"/>
  <c r="J149" i="16"/>
  <c r="K148" i="16"/>
  <c r="J148" i="16"/>
  <c r="K147" i="16"/>
  <c r="J147" i="16"/>
  <c r="K146" i="16"/>
  <c r="J146" i="16"/>
  <c r="K145" i="16"/>
  <c r="J145" i="16"/>
  <c r="K144" i="16"/>
  <c r="J144" i="16"/>
  <c r="K143" i="16"/>
  <c r="J143" i="16"/>
  <c r="K142" i="16"/>
  <c r="J142" i="16"/>
  <c r="K141" i="16"/>
  <c r="J141" i="16"/>
  <c r="K140" i="16"/>
  <c r="J140" i="16"/>
  <c r="K139" i="16"/>
  <c r="J139" i="16"/>
  <c r="K138" i="16"/>
  <c r="J138" i="16"/>
  <c r="K137" i="16"/>
  <c r="J137" i="16"/>
  <c r="K136" i="16"/>
  <c r="J136" i="16"/>
  <c r="K135" i="16"/>
  <c r="J135" i="16"/>
  <c r="K134" i="16"/>
  <c r="J134" i="16"/>
  <c r="K133" i="16"/>
  <c r="J133" i="16"/>
  <c r="K132" i="16"/>
  <c r="J132" i="16"/>
  <c r="K131" i="16"/>
  <c r="J131" i="16"/>
  <c r="K130" i="16"/>
  <c r="J130" i="16"/>
  <c r="K129" i="16"/>
  <c r="J129" i="16"/>
  <c r="K128" i="16"/>
  <c r="J128" i="16"/>
  <c r="K127" i="16"/>
  <c r="J127" i="16"/>
  <c r="K126" i="16"/>
  <c r="J126" i="16"/>
  <c r="K125" i="16"/>
  <c r="J125" i="16"/>
  <c r="K124" i="16"/>
  <c r="J124" i="16"/>
  <c r="K123" i="16"/>
  <c r="J123" i="16"/>
  <c r="K122" i="16"/>
  <c r="J122" i="16"/>
  <c r="K121" i="16"/>
  <c r="J121" i="16"/>
  <c r="K120" i="16"/>
  <c r="J120" i="16"/>
  <c r="K119" i="16"/>
  <c r="J119" i="16"/>
  <c r="K118" i="16"/>
  <c r="J118" i="16"/>
  <c r="K117" i="16"/>
  <c r="J117" i="16"/>
  <c r="K116" i="16"/>
  <c r="J116" i="16"/>
  <c r="K115" i="16"/>
  <c r="J115" i="16"/>
  <c r="K114" i="16"/>
  <c r="J114" i="16"/>
  <c r="K113" i="16"/>
  <c r="J113" i="16"/>
  <c r="K112" i="16"/>
  <c r="J112" i="16"/>
  <c r="K111" i="16"/>
  <c r="J111" i="16"/>
  <c r="K110" i="16"/>
  <c r="J110" i="16"/>
  <c r="K109" i="16"/>
  <c r="J109" i="16"/>
  <c r="K108" i="16"/>
  <c r="J108" i="16"/>
  <c r="K107" i="16"/>
  <c r="J107" i="16"/>
  <c r="K106" i="16"/>
  <c r="J106" i="16"/>
  <c r="K105" i="16"/>
  <c r="J105" i="16"/>
  <c r="K104" i="16"/>
  <c r="J104" i="16"/>
  <c r="K103" i="16"/>
  <c r="J103" i="16"/>
  <c r="K102" i="16"/>
  <c r="J102" i="16"/>
  <c r="K101" i="16"/>
  <c r="J101" i="16"/>
  <c r="K100" i="16"/>
  <c r="J100" i="16"/>
  <c r="K99" i="16"/>
  <c r="J99" i="16"/>
  <c r="K98" i="16"/>
  <c r="J98" i="16"/>
  <c r="K97" i="16"/>
  <c r="J97" i="16"/>
  <c r="K96" i="16"/>
  <c r="J96" i="16"/>
  <c r="K95" i="16"/>
  <c r="J95" i="16"/>
  <c r="K94" i="16"/>
  <c r="J94" i="16"/>
  <c r="K93" i="16"/>
  <c r="J93" i="16"/>
  <c r="K92" i="16"/>
  <c r="J92" i="16"/>
  <c r="K91" i="16"/>
  <c r="J91" i="16"/>
  <c r="K90" i="16"/>
  <c r="J90" i="16"/>
  <c r="K89" i="16"/>
  <c r="J89" i="16"/>
  <c r="K88" i="16"/>
  <c r="J88" i="16"/>
  <c r="K87" i="16"/>
  <c r="J87" i="16"/>
  <c r="K86" i="16"/>
  <c r="J86" i="16"/>
  <c r="K85" i="16"/>
  <c r="J85" i="16"/>
  <c r="K84" i="16"/>
  <c r="J84" i="16"/>
  <c r="K83" i="16"/>
  <c r="J83" i="16"/>
  <c r="K82" i="16"/>
  <c r="J82" i="16"/>
  <c r="K81" i="16"/>
  <c r="J81" i="16"/>
  <c r="K80" i="16"/>
  <c r="J80" i="16"/>
  <c r="K79" i="16"/>
  <c r="J79" i="16"/>
  <c r="K78" i="16"/>
  <c r="J78" i="16"/>
  <c r="K77" i="16"/>
  <c r="J77" i="16"/>
  <c r="K76" i="16"/>
  <c r="J76" i="16"/>
  <c r="K75" i="16"/>
  <c r="J75" i="16"/>
  <c r="K74" i="16"/>
  <c r="J74" i="16"/>
  <c r="K73" i="16"/>
  <c r="J73" i="16"/>
  <c r="K72" i="16"/>
  <c r="J72" i="16"/>
  <c r="K71" i="16"/>
  <c r="J71" i="16"/>
  <c r="K70" i="16"/>
  <c r="J70" i="16"/>
  <c r="K69" i="16"/>
  <c r="J69" i="16"/>
  <c r="K68" i="16"/>
  <c r="J68" i="16"/>
  <c r="K67" i="16"/>
  <c r="J67" i="16"/>
  <c r="K66" i="16"/>
  <c r="J66" i="16"/>
  <c r="K65" i="16"/>
  <c r="J65" i="16"/>
  <c r="K64" i="16"/>
  <c r="J64" i="16"/>
  <c r="K63" i="16"/>
  <c r="J63" i="16"/>
  <c r="K62" i="16"/>
  <c r="J62" i="16"/>
  <c r="K61" i="16"/>
  <c r="J61" i="16"/>
  <c r="K60" i="16"/>
  <c r="J60" i="16"/>
  <c r="K59" i="16"/>
  <c r="J59" i="16"/>
  <c r="K58" i="16"/>
  <c r="J58" i="16"/>
  <c r="K57" i="16"/>
  <c r="J57" i="16"/>
  <c r="K56" i="16"/>
  <c r="J56" i="16"/>
  <c r="K55" i="16"/>
  <c r="J55" i="16"/>
  <c r="K54" i="16"/>
  <c r="J54" i="16"/>
  <c r="K53" i="16"/>
  <c r="J53" i="16"/>
  <c r="K52" i="16"/>
  <c r="J52" i="16"/>
  <c r="K51" i="16"/>
  <c r="J51" i="16"/>
  <c r="K50" i="16"/>
  <c r="J50" i="16"/>
  <c r="K49" i="16"/>
  <c r="J49" i="16"/>
  <c r="K48" i="16"/>
  <c r="J48" i="16"/>
  <c r="K47" i="16"/>
  <c r="J47" i="16"/>
  <c r="K46" i="16"/>
  <c r="J46" i="16"/>
  <c r="K45" i="16"/>
  <c r="J45" i="16"/>
  <c r="K44" i="16"/>
  <c r="J44" i="16"/>
  <c r="K43" i="16"/>
  <c r="J43" i="16"/>
  <c r="K42" i="16"/>
  <c r="J42" i="16"/>
  <c r="K41" i="16"/>
  <c r="J41" i="16"/>
  <c r="K40" i="16"/>
  <c r="J40" i="16"/>
  <c r="K39" i="16"/>
  <c r="J39" i="16"/>
  <c r="K38" i="16"/>
  <c r="J38" i="16"/>
  <c r="K37" i="16"/>
  <c r="J37" i="16"/>
  <c r="K36" i="16"/>
  <c r="J36" i="16"/>
  <c r="K35" i="16"/>
  <c r="J35" i="16"/>
  <c r="K34" i="16"/>
  <c r="J34" i="16"/>
  <c r="K33" i="16"/>
  <c r="J33" i="16"/>
  <c r="K32" i="16"/>
  <c r="J32" i="16"/>
  <c r="K31" i="16"/>
  <c r="J31" i="16"/>
  <c r="K30" i="16"/>
  <c r="J30" i="16"/>
  <c r="K29" i="16"/>
  <c r="J29" i="16"/>
  <c r="K28" i="16"/>
  <c r="J28" i="16"/>
  <c r="K27" i="16"/>
  <c r="J27" i="16"/>
  <c r="K26" i="16"/>
  <c r="J26" i="16"/>
  <c r="K25" i="16"/>
  <c r="J25" i="16"/>
  <c r="K24" i="16"/>
  <c r="J24" i="16"/>
  <c r="K23" i="16"/>
  <c r="J23" i="16"/>
  <c r="K22" i="16"/>
  <c r="J22" i="16"/>
  <c r="K21" i="16"/>
  <c r="J21" i="16"/>
  <c r="K20" i="16"/>
  <c r="J20" i="16"/>
  <c r="K19" i="16"/>
  <c r="J19" i="16"/>
  <c r="K18" i="16"/>
  <c r="J18" i="16"/>
  <c r="K17" i="16"/>
  <c r="J17" i="16"/>
  <c r="K16" i="16"/>
  <c r="J16" i="16"/>
  <c r="K15" i="16"/>
  <c r="J15" i="16"/>
  <c r="K14" i="16"/>
  <c r="J14" i="16"/>
  <c r="K13" i="16"/>
  <c r="J13" i="16"/>
  <c r="K12" i="16"/>
  <c r="J12" i="16"/>
  <c r="K11" i="16"/>
  <c r="J11" i="16"/>
  <c r="K10" i="16"/>
  <c r="J10" i="16"/>
  <c r="K9" i="16"/>
  <c r="J9" i="16"/>
  <c r="K8" i="16"/>
  <c r="J8" i="16"/>
  <c r="K7" i="16"/>
  <c r="J7" i="16"/>
  <c r="K6" i="16"/>
  <c r="J6" i="16"/>
  <c r="K5" i="16"/>
  <c r="J5" i="16"/>
  <c r="K4" i="16"/>
  <c r="J4" i="16"/>
  <c r="K3" i="16"/>
  <c r="J3" i="16"/>
  <c r="K2" i="16"/>
  <c r="J2" i="16"/>
  <c r="K1261" i="2"/>
  <c r="J1261" i="2"/>
  <c r="K1260" i="2"/>
  <c r="J1260" i="2"/>
  <c r="K1259" i="2"/>
  <c r="J1259" i="2"/>
  <c r="K1258" i="2"/>
  <c r="J1258" i="2"/>
  <c r="K1257" i="2"/>
  <c r="J1257" i="2"/>
  <c r="K1256" i="2"/>
  <c r="J1256" i="2"/>
  <c r="K1261" i="13"/>
  <c r="J1261" i="13"/>
  <c r="K1260" i="13"/>
  <c r="J1260" i="13"/>
  <c r="K1259" i="13"/>
  <c r="J1259" i="13"/>
  <c r="K1258" i="13"/>
  <c r="J1258" i="13"/>
  <c r="K1257" i="13"/>
  <c r="J1257" i="13"/>
  <c r="K1256" i="13"/>
  <c r="J1256" i="13"/>
  <c r="K1255" i="13"/>
  <c r="J1255" i="13"/>
  <c r="K1254" i="13"/>
  <c r="J1254" i="13"/>
  <c r="K1253" i="13"/>
  <c r="J1253" i="13"/>
  <c r="K1252" i="13"/>
  <c r="J1252" i="13"/>
  <c r="K1251" i="13"/>
  <c r="J1251" i="13"/>
  <c r="K1250" i="13"/>
  <c r="J1250" i="13"/>
  <c r="K1249" i="13"/>
  <c r="J1249" i="13"/>
  <c r="K1248" i="13"/>
  <c r="J1248" i="13"/>
  <c r="K1247" i="13"/>
  <c r="J1247" i="13"/>
  <c r="K1246" i="13"/>
  <c r="J1246" i="13"/>
  <c r="K1245" i="13"/>
  <c r="J1245" i="13"/>
  <c r="K1244" i="13"/>
  <c r="J1244" i="13"/>
  <c r="K1243" i="13"/>
  <c r="J1243" i="13"/>
  <c r="K1242" i="13"/>
  <c r="J1242" i="13"/>
  <c r="K1241" i="13"/>
  <c r="J1241" i="13"/>
  <c r="K1240" i="13"/>
  <c r="J1240" i="13"/>
  <c r="K1239" i="13"/>
  <c r="J1239" i="13"/>
  <c r="K1238" i="13"/>
  <c r="J1238" i="13"/>
  <c r="K1237" i="13"/>
  <c r="J1237" i="13"/>
  <c r="K1236" i="13"/>
  <c r="J1236" i="13"/>
  <c r="K1235" i="13"/>
  <c r="J1235" i="13"/>
  <c r="K1234" i="13"/>
  <c r="J1234" i="13"/>
  <c r="K1233" i="13"/>
  <c r="J1233" i="13"/>
  <c r="K1232" i="13"/>
  <c r="J1232" i="13"/>
  <c r="K1231" i="13"/>
  <c r="J1231" i="13"/>
  <c r="K1230" i="13"/>
  <c r="J1230" i="13"/>
  <c r="K1229" i="13"/>
  <c r="J1229" i="13"/>
  <c r="K1228" i="13"/>
  <c r="J1228" i="13"/>
  <c r="K1227" i="13"/>
  <c r="J1227" i="13"/>
  <c r="K1226" i="13"/>
  <c r="J1226" i="13"/>
  <c r="K1225" i="13"/>
  <c r="J1225" i="13"/>
  <c r="K1224" i="13"/>
  <c r="J1224" i="13"/>
  <c r="K1223" i="13"/>
  <c r="J1223" i="13"/>
  <c r="K1222" i="13"/>
  <c r="J1222" i="13"/>
  <c r="K1221" i="13"/>
  <c r="J1221" i="13"/>
  <c r="K1220" i="13"/>
  <c r="J1220" i="13"/>
  <c r="K1219" i="13"/>
  <c r="J1219" i="13"/>
  <c r="K1218" i="13"/>
  <c r="J1218" i="13"/>
  <c r="K1217" i="13"/>
  <c r="J1217" i="13"/>
  <c r="K1216" i="13"/>
  <c r="J1216" i="13"/>
  <c r="K1215" i="13"/>
  <c r="J1215" i="13"/>
  <c r="K1214" i="13"/>
  <c r="J1214" i="13"/>
  <c r="K1213" i="13"/>
  <c r="J1213" i="13"/>
  <c r="K1212" i="13"/>
  <c r="J1212" i="13"/>
  <c r="K1211" i="13"/>
  <c r="J1211" i="13"/>
  <c r="K1210" i="13"/>
  <c r="J1210" i="13"/>
  <c r="K1209" i="13"/>
  <c r="J1209" i="13"/>
  <c r="K1208" i="13"/>
  <c r="J1208" i="13"/>
  <c r="K1207" i="13"/>
  <c r="J1207" i="13"/>
  <c r="K1206" i="13"/>
  <c r="J1206" i="13"/>
  <c r="K1205" i="13"/>
  <c r="J1205" i="13"/>
  <c r="K1204" i="13"/>
  <c r="J1204" i="13"/>
  <c r="K1203" i="13"/>
  <c r="J1203" i="13"/>
  <c r="K1202" i="13"/>
  <c r="J1202" i="13"/>
  <c r="K1201" i="13"/>
  <c r="J1201" i="13"/>
  <c r="K1200" i="13"/>
  <c r="J1200" i="13"/>
  <c r="K1199" i="13"/>
  <c r="J1199" i="13"/>
  <c r="K1198" i="13"/>
  <c r="J1198" i="13"/>
  <c r="K1197" i="13"/>
  <c r="J1197" i="13"/>
  <c r="K1196" i="13"/>
  <c r="J1196" i="13"/>
  <c r="K1195" i="13"/>
  <c r="J1195" i="13"/>
  <c r="K1194" i="13"/>
  <c r="J1194" i="13"/>
  <c r="K1193" i="13"/>
  <c r="J1193" i="13"/>
  <c r="K1192" i="13"/>
  <c r="J1192" i="13"/>
  <c r="K1191" i="13"/>
  <c r="J1191" i="13"/>
  <c r="K1190" i="13"/>
  <c r="J1190" i="13"/>
  <c r="K1189" i="13"/>
  <c r="J1189" i="13"/>
  <c r="K1188" i="13"/>
  <c r="J1188" i="13"/>
  <c r="K1187" i="13"/>
  <c r="J1187" i="13"/>
  <c r="K1186" i="13"/>
  <c r="J1186" i="13"/>
  <c r="K1185" i="13"/>
  <c r="J1185" i="13"/>
  <c r="K1184" i="13"/>
  <c r="J1184" i="13"/>
  <c r="K1183" i="13"/>
  <c r="J1183" i="13"/>
  <c r="K1182" i="13"/>
  <c r="J1182" i="13"/>
  <c r="K1181" i="13"/>
  <c r="J1181" i="13"/>
  <c r="K1180" i="13"/>
  <c r="J1180" i="13"/>
  <c r="K1179" i="13"/>
  <c r="J1179" i="13"/>
  <c r="K1178" i="13"/>
  <c r="J1178" i="13"/>
  <c r="K1177" i="13"/>
  <c r="J1177" i="13"/>
  <c r="K1176" i="13"/>
  <c r="J1176" i="13"/>
  <c r="K1175" i="13"/>
  <c r="J1175" i="13"/>
  <c r="K1174" i="13"/>
  <c r="J1174" i="13"/>
  <c r="K1173" i="13"/>
  <c r="J1173" i="13"/>
  <c r="K1172" i="13"/>
  <c r="J1172" i="13"/>
  <c r="K1171" i="13"/>
  <c r="J1171" i="13"/>
  <c r="K1170" i="13"/>
  <c r="J1170" i="13"/>
  <c r="K1169" i="13"/>
  <c r="J1169" i="13"/>
  <c r="K1168" i="13"/>
  <c r="J1168" i="13"/>
  <c r="K1167" i="13"/>
  <c r="J1167" i="13"/>
  <c r="K1166" i="13"/>
  <c r="J1166" i="13"/>
  <c r="K1165" i="13"/>
  <c r="J1165" i="13"/>
  <c r="K1164" i="13"/>
  <c r="J1164" i="13"/>
  <c r="K1163" i="13"/>
  <c r="J1163" i="13"/>
  <c r="K1162" i="13"/>
  <c r="J1162" i="13"/>
  <c r="K1161" i="13"/>
  <c r="J1161" i="13"/>
  <c r="K1160" i="13"/>
  <c r="J1160" i="13"/>
  <c r="K1159" i="13"/>
  <c r="J1159" i="13"/>
  <c r="K1158" i="13"/>
  <c r="J1158" i="13"/>
  <c r="K1157" i="13"/>
  <c r="J1157" i="13"/>
  <c r="K1156" i="13"/>
  <c r="J1156" i="13"/>
  <c r="K1155" i="13"/>
  <c r="J1155" i="13"/>
  <c r="K1154" i="13"/>
  <c r="J1154" i="13"/>
  <c r="K1153" i="13"/>
  <c r="J1153" i="13"/>
  <c r="K1152" i="13"/>
  <c r="J1152" i="13"/>
  <c r="K1151" i="13"/>
  <c r="J1151" i="13"/>
  <c r="K1150" i="13"/>
  <c r="J1150" i="13"/>
  <c r="K1149" i="13"/>
  <c r="J1149" i="13"/>
  <c r="K1148" i="13"/>
  <c r="J1148" i="13"/>
  <c r="K1147" i="13"/>
  <c r="J1147" i="13"/>
  <c r="K1146" i="13"/>
  <c r="J1146" i="13"/>
  <c r="K1145" i="13"/>
  <c r="J1145" i="13"/>
  <c r="K1144" i="13"/>
  <c r="J1144" i="13"/>
  <c r="K1143" i="13"/>
  <c r="J1143" i="13"/>
  <c r="K1142" i="13"/>
  <c r="J1142" i="13"/>
  <c r="K1141" i="13"/>
  <c r="J1141" i="13"/>
  <c r="K1140" i="13"/>
  <c r="J1140" i="13"/>
  <c r="K1139" i="13"/>
  <c r="J1139" i="13"/>
  <c r="K1138" i="13"/>
  <c r="J1138" i="13"/>
  <c r="K1137" i="13"/>
  <c r="J1137" i="13"/>
  <c r="K1136" i="13"/>
  <c r="J1136" i="13"/>
  <c r="K1135" i="13"/>
  <c r="J1135" i="13"/>
  <c r="K1134" i="13"/>
  <c r="J1134" i="13"/>
  <c r="K1133" i="13"/>
  <c r="J1133" i="13"/>
  <c r="K1132" i="13"/>
  <c r="J1132" i="13"/>
  <c r="K1131" i="13"/>
  <c r="J1131" i="13"/>
  <c r="K1130" i="13"/>
  <c r="J1130" i="13"/>
  <c r="K1129" i="13"/>
  <c r="J1129" i="13"/>
  <c r="K1128" i="13"/>
  <c r="J1128" i="13"/>
  <c r="K1127" i="13"/>
  <c r="J1127" i="13"/>
  <c r="K1126" i="13"/>
  <c r="J1126" i="13"/>
  <c r="K1125" i="13"/>
  <c r="J1125" i="13"/>
  <c r="K1124" i="13"/>
  <c r="J1124" i="13"/>
  <c r="K1123" i="13"/>
  <c r="J1123" i="13"/>
  <c r="K1122" i="13"/>
  <c r="J1122" i="13"/>
  <c r="K1121" i="13"/>
  <c r="J1121" i="13"/>
  <c r="K1120" i="13"/>
  <c r="J1120" i="13"/>
  <c r="K1119" i="13"/>
  <c r="J1119" i="13"/>
  <c r="K1118" i="13"/>
  <c r="J1118" i="13"/>
  <c r="K1117" i="13"/>
  <c r="J1117" i="13"/>
  <c r="K1116" i="13"/>
  <c r="J1116" i="13"/>
  <c r="K1115" i="13"/>
  <c r="J1115" i="13"/>
  <c r="K1114" i="13"/>
  <c r="J1114" i="13"/>
  <c r="K1113" i="13"/>
  <c r="J1113" i="13"/>
  <c r="K1112" i="13"/>
  <c r="J1112" i="13"/>
  <c r="K1111" i="13"/>
  <c r="J1111" i="13"/>
  <c r="K1110" i="13"/>
  <c r="J1110" i="13"/>
  <c r="K1109" i="13"/>
  <c r="J1109" i="13"/>
  <c r="K1108" i="13"/>
  <c r="J1108" i="13"/>
  <c r="K1107" i="13"/>
  <c r="J1107" i="13"/>
  <c r="K1106" i="13"/>
  <c r="J1106" i="13"/>
  <c r="K1105" i="13"/>
  <c r="J1105" i="13"/>
  <c r="K1104" i="13"/>
  <c r="J1104" i="13"/>
  <c r="K1103" i="13"/>
  <c r="J1103" i="13"/>
  <c r="K1102" i="13"/>
  <c r="J1102" i="13"/>
  <c r="K1101" i="13"/>
  <c r="J1101" i="13"/>
  <c r="K1100" i="13"/>
  <c r="J1100" i="13"/>
  <c r="K1099" i="13"/>
  <c r="J1099" i="13"/>
  <c r="K1098" i="13"/>
  <c r="J1098" i="13"/>
  <c r="K732" i="13"/>
  <c r="J732" i="13"/>
  <c r="K731" i="13"/>
  <c r="J731" i="13"/>
  <c r="K730" i="13"/>
  <c r="J730" i="13"/>
  <c r="K729" i="13"/>
  <c r="J729" i="13"/>
  <c r="K728" i="13"/>
  <c r="J728" i="13"/>
  <c r="K727" i="13"/>
  <c r="J727" i="13"/>
  <c r="K726" i="13"/>
  <c r="J726" i="13"/>
  <c r="K725" i="13"/>
  <c r="J725" i="13"/>
  <c r="K724" i="13"/>
  <c r="J724" i="13"/>
  <c r="K723" i="13"/>
  <c r="J723" i="13"/>
  <c r="K722" i="13"/>
  <c r="J722" i="13"/>
  <c r="K721" i="13"/>
  <c r="J721" i="13"/>
  <c r="K720" i="13"/>
  <c r="J720" i="13"/>
  <c r="K719" i="13"/>
  <c r="J719" i="13"/>
  <c r="K718" i="13"/>
  <c r="J718" i="13"/>
  <c r="K717" i="13"/>
  <c r="J717" i="13"/>
  <c r="K716" i="13"/>
  <c r="J716" i="13"/>
  <c r="K715" i="13"/>
  <c r="J715" i="13"/>
  <c r="K714" i="13"/>
  <c r="J714" i="13"/>
  <c r="K713" i="13"/>
  <c r="J713" i="13"/>
  <c r="K712" i="13"/>
  <c r="J712" i="13"/>
  <c r="K711" i="13"/>
  <c r="J711" i="13"/>
  <c r="K710" i="13"/>
  <c r="J710" i="13"/>
  <c r="K709" i="13"/>
  <c r="J709" i="13"/>
  <c r="K708" i="13"/>
  <c r="J708" i="13"/>
  <c r="K707" i="13"/>
  <c r="J707" i="13"/>
  <c r="K706" i="13"/>
  <c r="J706" i="13"/>
  <c r="K705" i="13"/>
  <c r="J705" i="13"/>
  <c r="K704" i="13"/>
  <c r="J704" i="13"/>
  <c r="K703" i="13"/>
  <c r="J703" i="13"/>
  <c r="K702" i="13"/>
  <c r="J702" i="13"/>
  <c r="K701" i="13"/>
  <c r="J701" i="13"/>
  <c r="K700" i="13"/>
  <c r="J700" i="13"/>
  <c r="K699" i="13"/>
  <c r="J699" i="13"/>
  <c r="K698" i="13"/>
  <c r="J698" i="13"/>
  <c r="K697" i="13"/>
  <c r="J697" i="13"/>
  <c r="K696" i="13"/>
  <c r="J696" i="13"/>
  <c r="K695" i="13"/>
  <c r="J695" i="13"/>
  <c r="K694" i="13"/>
  <c r="J694" i="13"/>
  <c r="K693" i="13"/>
  <c r="J693" i="13"/>
  <c r="K692" i="13"/>
  <c r="J692" i="13"/>
  <c r="K691" i="13"/>
  <c r="J691" i="13"/>
  <c r="K690" i="13"/>
  <c r="J690" i="13"/>
  <c r="K689" i="13"/>
  <c r="J689" i="13"/>
  <c r="K688" i="13"/>
  <c r="J688" i="13"/>
  <c r="K687" i="13"/>
  <c r="J687" i="13"/>
  <c r="K686" i="13"/>
  <c r="J686" i="13"/>
  <c r="K685" i="13"/>
  <c r="J685" i="13"/>
  <c r="K684" i="13"/>
  <c r="J684" i="13"/>
  <c r="K683" i="13"/>
  <c r="J683" i="13"/>
  <c r="K682" i="13"/>
  <c r="J682" i="13"/>
  <c r="K681" i="13"/>
  <c r="J681" i="13"/>
  <c r="K680" i="13"/>
  <c r="J680" i="13"/>
  <c r="K679" i="13"/>
  <c r="J679" i="13"/>
  <c r="K678" i="13"/>
  <c r="J678" i="13"/>
  <c r="K677" i="13"/>
  <c r="J677" i="13"/>
  <c r="K676" i="13"/>
  <c r="J676" i="13"/>
  <c r="K675" i="13"/>
  <c r="J675" i="13"/>
  <c r="K674" i="13"/>
  <c r="J674" i="13"/>
  <c r="K673" i="13"/>
  <c r="J673" i="13"/>
  <c r="K672" i="13"/>
  <c r="J672" i="13"/>
  <c r="K671" i="13"/>
  <c r="J671" i="13"/>
  <c r="K670" i="13"/>
  <c r="J670" i="13"/>
  <c r="K669" i="13"/>
  <c r="J669" i="13"/>
  <c r="K668" i="13"/>
  <c r="J668" i="13"/>
  <c r="K667" i="13"/>
  <c r="J667" i="13"/>
  <c r="K666" i="13"/>
  <c r="J666" i="13"/>
  <c r="K665" i="13"/>
  <c r="J665" i="13"/>
  <c r="K664" i="13"/>
  <c r="J664" i="13"/>
  <c r="K663" i="13"/>
  <c r="J663" i="13"/>
  <c r="K662" i="13"/>
  <c r="J662" i="13"/>
  <c r="K661" i="13"/>
  <c r="J661" i="13"/>
  <c r="K660" i="13"/>
  <c r="J660" i="13"/>
  <c r="K659" i="13"/>
  <c r="J659" i="13"/>
  <c r="K658" i="13"/>
  <c r="J658" i="13"/>
  <c r="K657" i="13"/>
  <c r="J657" i="13"/>
  <c r="K656" i="13"/>
  <c r="J656" i="13"/>
  <c r="K655" i="13"/>
  <c r="J655" i="13"/>
  <c r="K654" i="13"/>
  <c r="J654" i="13"/>
  <c r="K653" i="13"/>
  <c r="J653" i="13"/>
  <c r="K652" i="13"/>
  <c r="J652" i="13"/>
  <c r="K651" i="13"/>
  <c r="J651" i="13"/>
  <c r="K650" i="13"/>
  <c r="J650" i="13"/>
  <c r="K649" i="13"/>
  <c r="J649" i="13"/>
  <c r="K648" i="13"/>
  <c r="J648" i="13"/>
  <c r="K647" i="13"/>
  <c r="J647" i="13"/>
  <c r="K646" i="13"/>
  <c r="J646" i="13"/>
  <c r="K645" i="13"/>
  <c r="J645" i="13"/>
  <c r="K644" i="13"/>
  <c r="J644" i="13"/>
  <c r="K643" i="13"/>
  <c r="J643" i="13"/>
  <c r="K642" i="13"/>
  <c r="J642" i="13"/>
  <c r="K641" i="13"/>
  <c r="J641" i="13"/>
  <c r="K640" i="13"/>
  <c r="J640" i="13"/>
  <c r="K639" i="13"/>
  <c r="J639" i="13"/>
  <c r="K638" i="13"/>
  <c r="J638" i="13"/>
  <c r="K637" i="13"/>
  <c r="J637" i="13"/>
  <c r="K636" i="13"/>
  <c r="J636" i="13"/>
  <c r="K635" i="13"/>
  <c r="J635" i="13"/>
  <c r="K634" i="13"/>
  <c r="J634" i="13"/>
  <c r="K633" i="13"/>
  <c r="J633" i="13"/>
  <c r="K632" i="13"/>
  <c r="J632" i="13"/>
  <c r="K631" i="13"/>
  <c r="J631" i="13"/>
  <c r="K630" i="13"/>
  <c r="J630" i="13"/>
  <c r="K629" i="13"/>
  <c r="J629" i="13"/>
  <c r="K628" i="13"/>
  <c r="J628" i="13"/>
  <c r="K627" i="13"/>
  <c r="J627" i="13"/>
  <c r="K626" i="13"/>
  <c r="J626" i="13"/>
  <c r="K625" i="13"/>
  <c r="J625" i="13"/>
  <c r="K624" i="13"/>
  <c r="J624" i="13"/>
  <c r="K623" i="13"/>
  <c r="J623" i="13"/>
  <c r="K622" i="13"/>
  <c r="J622" i="13"/>
  <c r="K621" i="13"/>
  <c r="J621" i="13"/>
  <c r="K620" i="13"/>
  <c r="J620" i="13"/>
  <c r="K619" i="13"/>
  <c r="J619" i="13"/>
  <c r="K618" i="13"/>
  <c r="J618" i="13"/>
  <c r="K617" i="13"/>
  <c r="J617" i="13"/>
  <c r="K616" i="13"/>
  <c r="J616" i="13"/>
  <c r="K615" i="13"/>
  <c r="J615" i="13"/>
  <c r="K614" i="13"/>
  <c r="J614" i="13"/>
  <c r="K613" i="13"/>
  <c r="J613" i="13"/>
  <c r="K612" i="13"/>
  <c r="J612" i="13"/>
  <c r="K611" i="13"/>
  <c r="J611" i="13"/>
  <c r="K610" i="13"/>
  <c r="J610" i="13"/>
  <c r="K609" i="13"/>
  <c r="J609" i="13"/>
  <c r="K608" i="13"/>
  <c r="J608" i="13"/>
  <c r="K607" i="13"/>
  <c r="J607" i="13"/>
  <c r="K606" i="13"/>
  <c r="J606" i="13"/>
  <c r="K605" i="13"/>
  <c r="J605" i="13"/>
  <c r="K604" i="13"/>
  <c r="J604" i="13"/>
  <c r="K603" i="13"/>
  <c r="J603" i="13"/>
  <c r="K602" i="13"/>
  <c r="J602" i="13"/>
  <c r="K601" i="13"/>
  <c r="J601" i="13"/>
  <c r="K600" i="13"/>
  <c r="J600" i="13"/>
  <c r="K599" i="13"/>
  <c r="J599" i="13"/>
  <c r="K598" i="13"/>
  <c r="J598" i="13"/>
  <c r="K597" i="13"/>
  <c r="J597" i="13"/>
  <c r="K596" i="13"/>
  <c r="J596" i="13"/>
  <c r="K595" i="13"/>
  <c r="J595" i="13"/>
  <c r="K594" i="13"/>
  <c r="J594" i="13"/>
  <c r="K593" i="13"/>
  <c r="J593" i="13"/>
  <c r="K592" i="13"/>
  <c r="J592" i="13"/>
  <c r="K591" i="13"/>
  <c r="J591" i="13"/>
  <c r="K590" i="13"/>
  <c r="J590" i="13"/>
  <c r="K589" i="13"/>
  <c r="J589" i="13"/>
  <c r="K588" i="13"/>
  <c r="J588" i="13"/>
  <c r="K587" i="13"/>
  <c r="J587" i="13"/>
  <c r="K586" i="13"/>
  <c r="J586" i="13"/>
  <c r="K585" i="13"/>
  <c r="J585" i="13"/>
  <c r="K584" i="13"/>
  <c r="J584" i="13"/>
  <c r="K583" i="13"/>
  <c r="J583" i="13"/>
  <c r="K582" i="13"/>
  <c r="J582" i="13"/>
  <c r="K581" i="13"/>
  <c r="J581" i="13"/>
  <c r="K580" i="13"/>
  <c r="J580" i="13"/>
  <c r="K579" i="13"/>
  <c r="J579" i="13"/>
  <c r="K578" i="13"/>
  <c r="J578" i="13"/>
  <c r="K577" i="13"/>
  <c r="J577" i="13"/>
  <c r="K576" i="13"/>
  <c r="J576" i="13"/>
  <c r="K575" i="13"/>
  <c r="J575" i="13"/>
  <c r="K574" i="13"/>
  <c r="J574" i="13"/>
  <c r="K573" i="13"/>
  <c r="J573" i="13"/>
  <c r="K572" i="13"/>
  <c r="J572" i="13"/>
  <c r="K571" i="13"/>
  <c r="J571" i="13"/>
  <c r="K570" i="13"/>
  <c r="J570" i="13"/>
  <c r="K569" i="13"/>
  <c r="J569" i="13"/>
  <c r="K568" i="13"/>
  <c r="J568" i="13"/>
  <c r="K567" i="13"/>
  <c r="J567" i="13"/>
  <c r="K566" i="13"/>
  <c r="J566" i="13"/>
  <c r="K565" i="13"/>
  <c r="J565" i="13"/>
  <c r="K564" i="13"/>
  <c r="J564" i="13"/>
  <c r="K563" i="13"/>
  <c r="J563" i="13"/>
  <c r="K562" i="13"/>
  <c r="J562" i="13"/>
  <c r="K561" i="13"/>
  <c r="J561" i="13"/>
  <c r="K560" i="13"/>
  <c r="J560" i="13"/>
  <c r="K559" i="13"/>
  <c r="J559" i="13"/>
  <c r="K558" i="13"/>
  <c r="J558" i="13"/>
  <c r="K557" i="13"/>
  <c r="J557" i="13"/>
  <c r="K556" i="13"/>
  <c r="J556" i="13"/>
  <c r="K555" i="13"/>
  <c r="J555" i="13"/>
  <c r="K554" i="13"/>
  <c r="J554" i="13"/>
  <c r="K553" i="13"/>
  <c r="J553" i="13"/>
  <c r="K552" i="13"/>
  <c r="J552" i="13"/>
  <c r="K551" i="13"/>
  <c r="J551" i="13"/>
  <c r="K550" i="13"/>
  <c r="J550" i="13"/>
  <c r="K549" i="13"/>
  <c r="J549" i="13"/>
  <c r="K548" i="13"/>
  <c r="J548" i="13"/>
  <c r="K547" i="13"/>
  <c r="J547" i="13"/>
  <c r="K546" i="13"/>
  <c r="J546" i="13"/>
  <c r="K545" i="13"/>
  <c r="J545" i="13"/>
  <c r="K544" i="13"/>
  <c r="J544" i="13"/>
  <c r="K543" i="13"/>
  <c r="J543" i="13"/>
  <c r="K542" i="13"/>
  <c r="J542" i="13"/>
  <c r="K541" i="13"/>
  <c r="J541" i="13"/>
  <c r="K540" i="13"/>
  <c r="J540" i="13"/>
  <c r="K539" i="13"/>
  <c r="J539" i="13"/>
  <c r="K538" i="13"/>
  <c r="J538" i="13"/>
  <c r="K537" i="13"/>
  <c r="J537" i="13"/>
  <c r="K536" i="13"/>
  <c r="J536" i="13"/>
  <c r="K535" i="13"/>
  <c r="J535" i="13"/>
  <c r="K534" i="13"/>
  <c r="J534" i="13"/>
  <c r="K533" i="13"/>
  <c r="J533" i="13"/>
  <c r="K532" i="13"/>
  <c r="J532" i="13"/>
  <c r="K531" i="13"/>
  <c r="J531" i="13"/>
  <c r="K530" i="13"/>
  <c r="J530" i="13"/>
  <c r="K529" i="13"/>
  <c r="J529" i="13"/>
  <c r="K528" i="13"/>
  <c r="J528" i="13"/>
  <c r="K527" i="13"/>
  <c r="J527" i="13"/>
  <c r="K526" i="13"/>
  <c r="J526" i="13"/>
  <c r="K525" i="13"/>
  <c r="J525" i="13"/>
  <c r="K524" i="13"/>
  <c r="J524" i="13"/>
  <c r="K523" i="13"/>
  <c r="J523" i="13"/>
  <c r="K522" i="13"/>
  <c r="J522" i="13"/>
  <c r="K521" i="13"/>
  <c r="J521" i="13"/>
  <c r="K520" i="13"/>
  <c r="J520" i="13"/>
  <c r="K519" i="13"/>
  <c r="J519" i="13"/>
  <c r="K518" i="13"/>
  <c r="J518" i="13"/>
  <c r="K517" i="13"/>
  <c r="J517" i="13"/>
  <c r="K516" i="13"/>
  <c r="J516" i="13"/>
  <c r="K515" i="13"/>
  <c r="J515" i="13"/>
  <c r="K514" i="13"/>
  <c r="J514" i="13"/>
  <c r="K513" i="13"/>
  <c r="J513" i="13"/>
  <c r="K512" i="13"/>
  <c r="J512" i="13"/>
  <c r="K511" i="13"/>
  <c r="J511" i="13"/>
  <c r="K510" i="13"/>
  <c r="J510" i="13"/>
  <c r="K509" i="13"/>
  <c r="J509" i="13"/>
  <c r="K508" i="13"/>
  <c r="J508" i="13"/>
  <c r="K507" i="13"/>
  <c r="J507" i="13"/>
  <c r="K506" i="13"/>
  <c r="J506" i="13"/>
  <c r="K505" i="13"/>
  <c r="J505" i="13"/>
  <c r="K504" i="13"/>
  <c r="J504" i="13"/>
  <c r="K503" i="13"/>
  <c r="J503" i="13"/>
  <c r="K502" i="13"/>
  <c r="J502" i="13"/>
  <c r="K501" i="13"/>
  <c r="J501" i="13"/>
  <c r="K500" i="13"/>
  <c r="J500" i="13"/>
  <c r="K499" i="13"/>
  <c r="J499" i="13"/>
  <c r="K498" i="13"/>
  <c r="J498" i="13"/>
  <c r="K497" i="13"/>
  <c r="J497" i="13"/>
  <c r="K496" i="13"/>
  <c r="J496" i="13"/>
  <c r="K495" i="13"/>
  <c r="J495" i="13"/>
  <c r="K494" i="13"/>
  <c r="J494" i="13"/>
  <c r="K493" i="13"/>
  <c r="J493" i="13"/>
  <c r="K492" i="13"/>
  <c r="J492" i="13"/>
  <c r="K491" i="13"/>
  <c r="J491" i="13"/>
  <c r="K490" i="13"/>
  <c r="J490" i="13"/>
  <c r="K489" i="13"/>
  <c r="J489" i="13"/>
  <c r="K488" i="13"/>
  <c r="J488" i="13"/>
  <c r="K487" i="13"/>
  <c r="J487" i="13"/>
  <c r="K486" i="13"/>
  <c r="J486" i="13"/>
  <c r="K485" i="13"/>
  <c r="J485" i="13"/>
  <c r="K484" i="13"/>
  <c r="J484" i="13"/>
  <c r="K483" i="13"/>
  <c r="J483" i="13"/>
  <c r="K482" i="13"/>
  <c r="J482" i="13"/>
  <c r="K481" i="13"/>
  <c r="J481" i="13"/>
  <c r="K480" i="13"/>
  <c r="J480" i="13"/>
  <c r="K479" i="13"/>
  <c r="J479" i="13"/>
  <c r="K478" i="13"/>
  <c r="J478" i="13"/>
  <c r="K477" i="13"/>
  <c r="J477" i="13"/>
  <c r="K476" i="13"/>
  <c r="J476" i="13"/>
  <c r="K475" i="13"/>
  <c r="J475" i="13"/>
  <c r="K474" i="13"/>
  <c r="J474" i="13"/>
  <c r="K473" i="13"/>
  <c r="J473" i="13"/>
  <c r="K472" i="13"/>
  <c r="J472" i="13"/>
  <c r="K471" i="13"/>
  <c r="J471" i="13"/>
  <c r="K470" i="13"/>
  <c r="J470" i="13"/>
  <c r="K469" i="13"/>
  <c r="J469" i="13"/>
  <c r="K468" i="13"/>
  <c r="J468" i="13"/>
  <c r="K467" i="13"/>
  <c r="J467" i="13"/>
  <c r="K466" i="13"/>
  <c r="J466" i="13"/>
  <c r="K465" i="13"/>
  <c r="J465" i="13"/>
  <c r="K464" i="13"/>
  <c r="J464" i="13"/>
  <c r="K463" i="13"/>
  <c r="J463" i="13"/>
  <c r="K462" i="13"/>
  <c r="J462" i="13"/>
  <c r="K461" i="13"/>
  <c r="J461" i="13"/>
  <c r="K460" i="13"/>
  <c r="J460" i="13"/>
  <c r="K459" i="13"/>
  <c r="J459" i="13"/>
  <c r="K458" i="13"/>
  <c r="J458" i="13"/>
  <c r="K457" i="13"/>
  <c r="J457" i="13"/>
  <c r="K456" i="13"/>
  <c r="J456" i="13"/>
  <c r="K455" i="13"/>
  <c r="J455" i="13"/>
  <c r="K454" i="13"/>
  <c r="J454" i="13"/>
  <c r="K453" i="13"/>
  <c r="J453" i="13"/>
  <c r="K452" i="13"/>
  <c r="J452" i="13"/>
  <c r="K451" i="13"/>
  <c r="J451" i="13"/>
  <c r="K450" i="13"/>
  <c r="J450" i="13"/>
  <c r="K449" i="13"/>
  <c r="J449" i="13"/>
  <c r="K448" i="13"/>
  <c r="J448" i="13"/>
  <c r="K447" i="13"/>
  <c r="J447" i="13"/>
  <c r="K446" i="13"/>
  <c r="J446" i="13"/>
  <c r="K445" i="13"/>
  <c r="J445" i="13"/>
  <c r="K444" i="13"/>
  <c r="J444" i="13"/>
  <c r="K443" i="13"/>
  <c r="J443" i="13"/>
  <c r="K442" i="13"/>
  <c r="J442" i="13"/>
  <c r="K441" i="13"/>
  <c r="J441" i="13"/>
  <c r="K440" i="13"/>
  <c r="J440" i="13"/>
  <c r="K439" i="13"/>
  <c r="J439" i="13"/>
  <c r="K438" i="13"/>
  <c r="J438" i="13"/>
  <c r="K437" i="13"/>
  <c r="J437" i="13"/>
  <c r="K436" i="13"/>
  <c r="J436" i="13"/>
  <c r="K435" i="13"/>
  <c r="J435" i="13"/>
  <c r="K434" i="13"/>
  <c r="J434" i="13"/>
  <c r="K433" i="13"/>
  <c r="J433" i="13"/>
  <c r="K432" i="13"/>
  <c r="J432" i="13"/>
  <c r="K431" i="13"/>
  <c r="J431" i="13"/>
  <c r="K430" i="13"/>
  <c r="J430" i="13"/>
  <c r="K429" i="13"/>
  <c r="J429" i="13"/>
  <c r="K428" i="13"/>
  <c r="J428" i="13"/>
  <c r="K427" i="13"/>
  <c r="J427" i="13"/>
  <c r="K426" i="13"/>
  <c r="J426" i="13"/>
  <c r="K425" i="13"/>
  <c r="J425" i="13"/>
  <c r="K424" i="13"/>
  <c r="J424" i="13"/>
  <c r="K423" i="13"/>
  <c r="J423" i="13"/>
  <c r="K422" i="13"/>
  <c r="J422" i="13"/>
  <c r="K421" i="13"/>
  <c r="J421" i="13"/>
  <c r="K420" i="13"/>
  <c r="J420" i="13"/>
  <c r="K419" i="13"/>
  <c r="J419" i="13"/>
  <c r="K418" i="13"/>
  <c r="J418" i="13"/>
  <c r="K417" i="13"/>
  <c r="J417" i="13"/>
  <c r="K416" i="13"/>
  <c r="J416" i="13"/>
  <c r="K415" i="13"/>
  <c r="J415" i="13"/>
  <c r="K414" i="13"/>
  <c r="J414" i="13"/>
  <c r="K413" i="13"/>
  <c r="J413" i="13"/>
  <c r="K412" i="13"/>
  <c r="J412" i="13"/>
  <c r="K411" i="13"/>
  <c r="J411" i="13"/>
  <c r="K410" i="13"/>
  <c r="J410" i="13"/>
  <c r="K409" i="13"/>
  <c r="J409" i="13"/>
  <c r="K408" i="13"/>
  <c r="J408" i="13"/>
  <c r="K407" i="13"/>
  <c r="J407" i="13"/>
  <c r="K406" i="13"/>
  <c r="J406" i="13"/>
  <c r="K405" i="13"/>
  <c r="J405" i="13"/>
  <c r="K404" i="13"/>
  <c r="J404" i="13"/>
  <c r="K403" i="13"/>
  <c r="J403" i="13"/>
  <c r="K402" i="13"/>
  <c r="J402" i="13"/>
  <c r="K401" i="13"/>
  <c r="J401" i="13"/>
  <c r="K400" i="13"/>
  <c r="J400" i="13"/>
  <c r="K399" i="13"/>
  <c r="J399" i="13"/>
  <c r="K398" i="13"/>
  <c r="J398" i="13"/>
  <c r="K397" i="13"/>
  <c r="J397" i="13"/>
  <c r="K396" i="13"/>
  <c r="J396" i="13"/>
  <c r="K395" i="13"/>
  <c r="J395" i="13"/>
  <c r="K394" i="13"/>
  <c r="J394" i="13"/>
  <c r="K393" i="13"/>
  <c r="J393" i="13"/>
  <c r="K392" i="13"/>
  <c r="J392" i="13"/>
  <c r="K391" i="13"/>
  <c r="J391" i="13"/>
  <c r="K390" i="13"/>
  <c r="J390" i="13"/>
  <c r="K389" i="13"/>
  <c r="J389" i="13"/>
  <c r="K388" i="13"/>
  <c r="J388" i="13"/>
  <c r="K387" i="13"/>
  <c r="J387" i="13"/>
  <c r="K386" i="13"/>
  <c r="J386" i="13"/>
  <c r="K385" i="13"/>
  <c r="J385" i="13"/>
  <c r="K384" i="13"/>
  <c r="J384" i="13"/>
  <c r="K383" i="13"/>
  <c r="J383" i="13"/>
  <c r="K382" i="13"/>
  <c r="J382" i="13"/>
  <c r="K381" i="13"/>
  <c r="J381" i="13"/>
  <c r="K380" i="13"/>
  <c r="J380" i="13"/>
  <c r="K379" i="13"/>
  <c r="J379" i="13"/>
  <c r="K378" i="13"/>
  <c r="J378" i="13"/>
  <c r="K377" i="13"/>
  <c r="J377" i="13"/>
  <c r="K376" i="13"/>
  <c r="J376" i="13"/>
  <c r="K375" i="13"/>
  <c r="J375" i="13"/>
  <c r="K374" i="13"/>
  <c r="J374" i="13"/>
  <c r="K373" i="13"/>
  <c r="J373" i="13"/>
  <c r="K372" i="13"/>
  <c r="J372" i="13"/>
  <c r="K371" i="13"/>
  <c r="J371" i="13"/>
  <c r="K370" i="13"/>
  <c r="J370" i="13"/>
  <c r="K369" i="13"/>
  <c r="J369" i="13"/>
  <c r="K368" i="13"/>
  <c r="J368" i="13"/>
  <c r="K367" i="13"/>
  <c r="J367" i="13"/>
  <c r="K366" i="13"/>
  <c r="J366" i="13"/>
  <c r="K365" i="13"/>
  <c r="J365" i="13"/>
  <c r="K364" i="13"/>
  <c r="J364" i="13"/>
  <c r="K363" i="13"/>
  <c r="J363" i="13"/>
  <c r="K362" i="13"/>
  <c r="J362" i="13"/>
  <c r="K361" i="13"/>
  <c r="J361" i="13"/>
  <c r="K360" i="13"/>
  <c r="J360" i="13"/>
  <c r="K359" i="13"/>
  <c r="J359" i="13"/>
  <c r="K358" i="13"/>
  <c r="J358" i="13"/>
  <c r="K357" i="13"/>
  <c r="J357" i="13"/>
  <c r="K356" i="13"/>
  <c r="J356" i="13"/>
  <c r="K355" i="13"/>
  <c r="J355" i="13"/>
  <c r="K354" i="13"/>
  <c r="J354" i="13"/>
  <c r="K353" i="13"/>
  <c r="J353" i="13"/>
  <c r="K352" i="13"/>
  <c r="J352" i="13"/>
  <c r="K351" i="13"/>
  <c r="J351" i="13"/>
  <c r="K350" i="13"/>
  <c r="J350" i="13"/>
  <c r="K349" i="13"/>
  <c r="J349" i="13"/>
  <c r="K348" i="13"/>
  <c r="J348" i="13"/>
  <c r="K347" i="13"/>
  <c r="J347" i="13"/>
  <c r="K346" i="13"/>
  <c r="J346" i="13"/>
  <c r="K345" i="13"/>
  <c r="J345" i="13"/>
  <c r="K344" i="13"/>
  <c r="J344" i="13"/>
  <c r="K343" i="13"/>
  <c r="J343" i="13"/>
  <c r="K342" i="13"/>
  <c r="J342" i="13"/>
  <c r="K341" i="13"/>
  <c r="J341" i="13"/>
  <c r="K340" i="13"/>
  <c r="J340" i="13"/>
  <c r="K339" i="13"/>
  <c r="J339" i="13"/>
  <c r="K338" i="13"/>
  <c r="J338" i="13"/>
  <c r="K337" i="13"/>
  <c r="J337" i="13"/>
  <c r="K336" i="13"/>
  <c r="J336" i="13"/>
  <c r="K335" i="13"/>
  <c r="J335" i="13"/>
  <c r="K334" i="13"/>
  <c r="J334" i="13"/>
  <c r="K333" i="13"/>
  <c r="J333" i="13"/>
  <c r="K332" i="13"/>
  <c r="J332" i="13"/>
  <c r="K331" i="13"/>
  <c r="J331" i="13"/>
  <c r="K330" i="13"/>
  <c r="J330" i="13"/>
  <c r="K329" i="13"/>
  <c r="J329" i="13"/>
  <c r="K328" i="13"/>
  <c r="J328" i="13"/>
  <c r="K327" i="13"/>
  <c r="J327" i="13"/>
  <c r="K326" i="13"/>
  <c r="J326" i="13"/>
  <c r="K325" i="13"/>
  <c r="J325" i="13"/>
  <c r="K324" i="13"/>
  <c r="J324" i="13"/>
  <c r="K323" i="13"/>
  <c r="J323" i="13"/>
  <c r="K322" i="13"/>
  <c r="J322" i="13"/>
  <c r="K321" i="13"/>
  <c r="J321" i="13"/>
  <c r="K320" i="13"/>
  <c r="J320" i="13"/>
  <c r="K319" i="13"/>
  <c r="J319" i="13"/>
  <c r="K318" i="13"/>
  <c r="J318" i="13"/>
  <c r="K317" i="13"/>
  <c r="J317" i="13"/>
  <c r="K316" i="13"/>
  <c r="J316" i="13"/>
  <c r="K315" i="13"/>
  <c r="J315" i="13"/>
  <c r="K314" i="13"/>
  <c r="J314" i="13"/>
  <c r="K313" i="13"/>
  <c r="J313" i="13"/>
  <c r="K312" i="13"/>
  <c r="J312" i="13"/>
  <c r="K311" i="13"/>
  <c r="J311" i="13"/>
  <c r="K310" i="13"/>
  <c r="J310" i="13"/>
  <c r="K309" i="13"/>
  <c r="J309" i="13"/>
  <c r="K308" i="13"/>
  <c r="J308" i="13"/>
  <c r="K307" i="13"/>
  <c r="J307" i="13"/>
  <c r="K306" i="13"/>
  <c r="J306" i="13"/>
  <c r="K305" i="13"/>
  <c r="J305" i="13"/>
  <c r="K304" i="13"/>
  <c r="J304" i="13"/>
  <c r="K303" i="13"/>
  <c r="J303" i="13"/>
  <c r="K302" i="13"/>
  <c r="J302" i="13"/>
  <c r="K301" i="13"/>
  <c r="J301" i="13"/>
  <c r="K300" i="13"/>
  <c r="J300" i="13"/>
  <c r="K299" i="13"/>
  <c r="J299" i="13"/>
  <c r="K298" i="13"/>
  <c r="J298" i="13"/>
  <c r="K297" i="13"/>
  <c r="J297" i="13"/>
  <c r="K296" i="13"/>
  <c r="J296" i="13"/>
  <c r="K295" i="13"/>
  <c r="J295" i="13"/>
  <c r="K294" i="13"/>
  <c r="J294" i="13"/>
  <c r="K293" i="13"/>
  <c r="J293" i="13"/>
  <c r="K292" i="13"/>
  <c r="J292" i="13"/>
  <c r="K291" i="13"/>
  <c r="J291" i="13"/>
  <c r="K290" i="13"/>
  <c r="J290" i="13"/>
  <c r="K289" i="13"/>
  <c r="J289" i="13"/>
  <c r="K288" i="13"/>
  <c r="J288" i="13"/>
  <c r="K287" i="13"/>
  <c r="J287" i="13"/>
  <c r="K286" i="13"/>
  <c r="J286" i="13"/>
  <c r="K285" i="13"/>
  <c r="J285" i="13"/>
  <c r="K284" i="13"/>
  <c r="J284" i="13"/>
  <c r="K283" i="13"/>
  <c r="J283" i="13"/>
  <c r="K282" i="13"/>
  <c r="J282" i="13"/>
  <c r="K281" i="13"/>
  <c r="J281" i="13"/>
  <c r="K280" i="13"/>
  <c r="J280" i="13"/>
  <c r="K279" i="13"/>
  <c r="J279" i="13"/>
  <c r="K278" i="13"/>
  <c r="J278" i="13"/>
  <c r="K277" i="13"/>
  <c r="J277" i="13"/>
  <c r="K276" i="13"/>
  <c r="J276" i="13"/>
  <c r="K275" i="13"/>
  <c r="J275" i="13"/>
  <c r="K274" i="13"/>
  <c r="J274" i="13"/>
  <c r="K273" i="13"/>
  <c r="J273" i="13"/>
  <c r="K272" i="13"/>
  <c r="J272" i="13"/>
  <c r="K271" i="13"/>
  <c r="J271" i="13"/>
  <c r="K270" i="13"/>
  <c r="J270" i="13"/>
  <c r="K269" i="13"/>
  <c r="J269" i="13"/>
  <c r="K268" i="13"/>
  <c r="J268" i="13"/>
  <c r="K267" i="13"/>
  <c r="J267" i="13"/>
  <c r="K266" i="13"/>
  <c r="J266" i="13"/>
  <c r="K265" i="13"/>
  <c r="J265" i="13"/>
  <c r="K264" i="13"/>
  <c r="J264" i="13"/>
  <c r="K263" i="13"/>
  <c r="J263" i="13"/>
  <c r="K262" i="13"/>
  <c r="J262" i="13"/>
  <c r="K261" i="13"/>
  <c r="J261" i="13"/>
  <c r="K260" i="13"/>
  <c r="J260" i="13"/>
  <c r="K259" i="13"/>
  <c r="J259" i="13"/>
  <c r="K258" i="13"/>
  <c r="J258" i="13"/>
  <c r="K257" i="13"/>
  <c r="J257" i="13"/>
  <c r="K256" i="13"/>
  <c r="J256" i="13"/>
  <c r="K255" i="13"/>
  <c r="J255" i="13"/>
  <c r="K254" i="13"/>
  <c r="J254" i="13"/>
  <c r="K253" i="13"/>
  <c r="J253" i="13"/>
  <c r="K252" i="13"/>
  <c r="J252" i="13"/>
  <c r="K251" i="13"/>
  <c r="J251" i="13"/>
  <c r="K250" i="13"/>
  <c r="J250" i="13"/>
  <c r="K249" i="13"/>
  <c r="J249" i="13"/>
  <c r="K248" i="13"/>
  <c r="J248" i="13"/>
  <c r="K247" i="13"/>
  <c r="J247" i="13"/>
  <c r="K246" i="13"/>
  <c r="J246" i="13"/>
  <c r="K245" i="13"/>
  <c r="J245" i="13"/>
  <c r="K244" i="13"/>
  <c r="J244" i="13"/>
  <c r="K243" i="13"/>
  <c r="J243" i="13"/>
  <c r="K242" i="13"/>
  <c r="J242" i="13"/>
  <c r="K241" i="13"/>
  <c r="J241" i="13"/>
  <c r="K240" i="13"/>
  <c r="J240" i="13"/>
  <c r="K239" i="13"/>
  <c r="J239" i="13"/>
  <c r="K238" i="13"/>
  <c r="J238" i="13"/>
  <c r="K237" i="13"/>
  <c r="J237" i="13"/>
  <c r="K236" i="13"/>
  <c r="J236" i="13"/>
  <c r="K235" i="13"/>
  <c r="J235" i="13"/>
  <c r="K234" i="13"/>
  <c r="J234" i="13"/>
  <c r="K233" i="13"/>
  <c r="J233" i="13"/>
  <c r="K232" i="13"/>
  <c r="J232" i="13"/>
  <c r="K231" i="13"/>
  <c r="J231" i="13"/>
  <c r="K230" i="13"/>
  <c r="J230" i="13"/>
  <c r="K229" i="13"/>
  <c r="J229" i="13"/>
  <c r="K228" i="13"/>
  <c r="J228" i="13"/>
  <c r="K227" i="13"/>
  <c r="J227" i="13"/>
  <c r="K226" i="13"/>
  <c r="J226" i="13"/>
  <c r="K225" i="13"/>
  <c r="J225" i="13"/>
  <c r="K224" i="13"/>
  <c r="J224" i="13"/>
  <c r="K223" i="13"/>
  <c r="J223" i="13"/>
  <c r="K222" i="13"/>
  <c r="J222" i="13"/>
  <c r="K221" i="13"/>
  <c r="J221" i="13"/>
  <c r="K220" i="13"/>
  <c r="J220" i="13"/>
  <c r="K219" i="13"/>
  <c r="J219" i="13"/>
  <c r="K218" i="13"/>
  <c r="J218" i="13"/>
  <c r="K217" i="13"/>
  <c r="J217" i="13"/>
  <c r="K216" i="13"/>
  <c r="J216" i="13"/>
  <c r="K215" i="13"/>
  <c r="J215" i="13"/>
  <c r="K214" i="13"/>
  <c r="J214" i="13"/>
  <c r="K213" i="13"/>
  <c r="J213" i="13"/>
  <c r="K212" i="13"/>
  <c r="J212" i="13"/>
  <c r="K211" i="13"/>
  <c r="J211" i="13"/>
  <c r="K210" i="13"/>
  <c r="J210" i="13"/>
  <c r="K209" i="13"/>
  <c r="J209" i="13"/>
  <c r="K208" i="13"/>
  <c r="J208" i="13"/>
  <c r="K207" i="13"/>
  <c r="J207" i="13"/>
  <c r="K206" i="13"/>
  <c r="J206" i="13"/>
  <c r="K205" i="13"/>
  <c r="J205" i="13"/>
  <c r="K204" i="13"/>
  <c r="J204" i="13"/>
  <c r="K203" i="13"/>
  <c r="J203" i="13"/>
  <c r="K202" i="13"/>
  <c r="J202" i="13"/>
  <c r="K201" i="13"/>
  <c r="J201" i="13"/>
  <c r="K200" i="13"/>
  <c r="J200" i="13"/>
  <c r="K199" i="13"/>
  <c r="J199" i="13"/>
  <c r="K198" i="13"/>
  <c r="J198" i="13"/>
  <c r="K197" i="13"/>
  <c r="J197" i="13"/>
  <c r="K196" i="13"/>
  <c r="J196" i="13"/>
  <c r="K195" i="13"/>
  <c r="J195" i="13"/>
  <c r="K194" i="13"/>
  <c r="J194" i="13"/>
  <c r="K193" i="13"/>
  <c r="J193" i="13"/>
  <c r="K192" i="13"/>
  <c r="J192" i="13"/>
  <c r="K191" i="13"/>
  <c r="J191" i="13"/>
  <c r="K190" i="13"/>
  <c r="J190" i="13"/>
  <c r="K189" i="13"/>
  <c r="J189" i="13"/>
  <c r="K188" i="13"/>
  <c r="J188" i="13"/>
  <c r="K187" i="13"/>
  <c r="J187" i="13"/>
  <c r="K186" i="13"/>
  <c r="J186" i="13"/>
  <c r="K185" i="13"/>
  <c r="J185" i="13"/>
  <c r="K184" i="13"/>
  <c r="J184" i="13"/>
  <c r="K183" i="13"/>
  <c r="J183" i="13"/>
  <c r="K182" i="13"/>
  <c r="J182" i="13"/>
  <c r="K181" i="13"/>
  <c r="J181" i="13"/>
  <c r="K180" i="13"/>
  <c r="J180" i="13"/>
  <c r="K179" i="13"/>
  <c r="J179" i="13"/>
  <c r="K178" i="13"/>
  <c r="J178" i="13"/>
  <c r="K177" i="13"/>
  <c r="J177" i="13"/>
  <c r="K176" i="13"/>
  <c r="J176" i="13"/>
  <c r="K175" i="13"/>
  <c r="J175" i="13"/>
  <c r="K174" i="13"/>
  <c r="J174" i="13"/>
  <c r="K173" i="13"/>
  <c r="J173" i="13"/>
  <c r="K172" i="13"/>
  <c r="J172" i="13"/>
  <c r="K171" i="13"/>
  <c r="J171" i="13"/>
  <c r="K170" i="13"/>
  <c r="J170" i="13"/>
  <c r="K169" i="13"/>
  <c r="J169" i="13"/>
  <c r="K168" i="13"/>
  <c r="J168" i="13"/>
  <c r="K167" i="13"/>
  <c r="J167" i="13"/>
  <c r="K166" i="13"/>
  <c r="J166" i="13"/>
  <c r="K165" i="13"/>
  <c r="J165" i="13"/>
  <c r="K164" i="13"/>
  <c r="J164" i="13"/>
  <c r="K163" i="13"/>
  <c r="J163" i="13"/>
  <c r="K162" i="13"/>
  <c r="J162" i="13"/>
  <c r="K161" i="13"/>
  <c r="J161" i="13"/>
  <c r="K160" i="13"/>
  <c r="J160" i="13"/>
  <c r="K159" i="13"/>
  <c r="J159" i="13"/>
  <c r="K158" i="13"/>
  <c r="J158" i="13"/>
  <c r="K157" i="13"/>
  <c r="J157" i="13"/>
  <c r="K156" i="13"/>
  <c r="J156" i="13"/>
  <c r="K155" i="13"/>
  <c r="J155" i="13"/>
  <c r="K154" i="13"/>
  <c r="J154" i="13"/>
  <c r="K153" i="13"/>
  <c r="J153" i="13"/>
  <c r="K152" i="13"/>
  <c r="J152" i="13"/>
  <c r="K151" i="13"/>
  <c r="J151" i="13"/>
  <c r="K150" i="13"/>
  <c r="J150" i="13"/>
  <c r="K149" i="13"/>
  <c r="J149" i="13"/>
  <c r="K148" i="13"/>
  <c r="J148" i="13"/>
  <c r="K147" i="13"/>
  <c r="J147" i="13"/>
  <c r="K146" i="13"/>
  <c r="J146" i="13"/>
  <c r="K145" i="13"/>
  <c r="J145" i="13"/>
  <c r="K144" i="13"/>
  <c r="J144" i="13"/>
  <c r="K143" i="13"/>
  <c r="J143" i="13"/>
  <c r="K142" i="13"/>
  <c r="J142" i="13"/>
  <c r="K141" i="13"/>
  <c r="J141" i="13"/>
  <c r="K140" i="13"/>
  <c r="J140" i="13"/>
  <c r="K139" i="13"/>
  <c r="J139" i="13"/>
  <c r="K138" i="13"/>
  <c r="J138" i="13"/>
  <c r="K137" i="13"/>
  <c r="J137" i="13"/>
  <c r="K136" i="13"/>
  <c r="J136" i="13"/>
  <c r="K135" i="13"/>
  <c r="J135" i="13"/>
  <c r="K134" i="13"/>
  <c r="J134" i="13"/>
  <c r="K133" i="13"/>
  <c r="J133" i="13"/>
  <c r="K132" i="13"/>
  <c r="J132" i="13"/>
  <c r="K131" i="13"/>
  <c r="J131" i="13"/>
  <c r="K130" i="13"/>
  <c r="J130" i="13"/>
  <c r="K129" i="13"/>
  <c r="J129" i="13"/>
  <c r="K128" i="13"/>
  <c r="J128" i="13"/>
  <c r="K127" i="13"/>
  <c r="J127" i="13"/>
  <c r="K126" i="13"/>
  <c r="J126" i="13"/>
  <c r="K125" i="13"/>
  <c r="J125" i="13"/>
  <c r="K124" i="13"/>
  <c r="J124" i="13"/>
  <c r="K123" i="13"/>
  <c r="J123" i="13"/>
  <c r="K122" i="13"/>
  <c r="J122" i="13"/>
  <c r="K121" i="13"/>
  <c r="J121" i="13"/>
  <c r="K120" i="13"/>
  <c r="J120" i="13"/>
  <c r="K119" i="13"/>
  <c r="J119" i="13"/>
  <c r="K118" i="13"/>
  <c r="J118" i="13"/>
  <c r="K117" i="13"/>
  <c r="J117" i="13"/>
  <c r="K116" i="13"/>
  <c r="J116" i="13"/>
  <c r="K115" i="13"/>
  <c r="J115" i="13"/>
  <c r="K114" i="13"/>
  <c r="J114" i="13"/>
  <c r="K113" i="13"/>
  <c r="J113" i="13"/>
  <c r="K112" i="13"/>
  <c r="J112" i="13"/>
  <c r="K111" i="13"/>
  <c r="J111" i="13"/>
  <c r="K110" i="13"/>
  <c r="J110" i="13"/>
  <c r="K109" i="13"/>
  <c r="J109" i="13"/>
  <c r="K108" i="13"/>
  <c r="J108" i="13"/>
  <c r="K107" i="13"/>
  <c r="J107" i="13"/>
  <c r="K106" i="13"/>
  <c r="J106" i="13"/>
  <c r="K105" i="13"/>
  <c r="J105" i="13"/>
  <c r="K104" i="13"/>
  <c r="J104" i="13"/>
  <c r="K103" i="13"/>
  <c r="J103" i="13"/>
  <c r="K102" i="13"/>
  <c r="J102" i="13"/>
  <c r="K101" i="13"/>
  <c r="J101" i="13"/>
  <c r="K100" i="13"/>
  <c r="J100" i="13"/>
  <c r="K99" i="13"/>
  <c r="J99" i="13"/>
  <c r="K98" i="13"/>
  <c r="J98" i="13"/>
  <c r="K97" i="13"/>
  <c r="J97" i="13"/>
  <c r="K96" i="13"/>
  <c r="J96" i="13"/>
  <c r="K95" i="13"/>
  <c r="J95" i="13"/>
  <c r="K94" i="13"/>
  <c r="J94" i="13"/>
  <c r="K93" i="13"/>
  <c r="J93" i="13"/>
  <c r="K92" i="13"/>
  <c r="J92" i="13"/>
  <c r="K91" i="13"/>
  <c r="J91" i="13"/>
  <c r="K90" i="13"/>
  <c r="J90" i="13"/>
  <c r="K89" i="13"/>
  <c r="J89" i="13"/>
  <c r="K88" i="13"/>
  <c r="J88" i="13"/>
  <c r="K87" i="13"/>
  <c r="J87" i="13"/>
  <c r="K86" i="13"/>
  <c r="J86" i="13"/>
  <c r="K85" i="13"/>
  <c r="J85" i="13"/>
  <c r="K84" i="13"/>
  <c r="J84" i="13"/>
  <c r="K83" i="13"/>
  <c r="J83" i="13"/>
  <c r="K82" i="13"/>
  <c r="J82" i="13"/>
  <c r="K81" i="13"/>
  <c r="J81" i="13"/>
  <c r="K80" i="13"/>
  <c r="J80" i="13"/>
  <c r="K79" i="13"/>
  <c r="J79" i="13"/>
  <c r="K78" i="13"/>
  <c r="J78" i="13"/>
  <c r="K77" i="13"/>
  <c r="J77" i="13"/>
  <c r="K76" i="13"/>
  <c r="J76" i="13"/>
  <c r="K75" i="13"/>
  <c r="J75" i="13"/>
  <c r="K74" i="13"/>
  <c r="J74" i="13"/>
  <c r="K73" i="13"/>
  <c r="J73" i="13"/>
  <c r="K72" i="13"/>
  <c r="J72" i="13"/>
  <c r="K71" i="13"/>
  <c r="J71" i="13"/>
  <c r="K70" i="13"/>
  <c r="J70" i="13"/>
  <c r="K69" i="13"/>
  <c r="J69" i="13"/>
  <c r="K68" i="13"/>
  <c r="J68" i="13"/>
  <c r="K67" i="13"/>
  <c r="J67" i="13"/>
  <c r="K66" i="13"/>
  <c r="J66" i="13"/>
  <c r="K65" i="13"/>
  <c r="J65" i="13"/>
  <c r="K64" i="13"/>
  <c r="J64" i="13"/>
  <c r="K63" i="13"/>
  <c r="J63" i="13"/>
  <c r="K62" i="13"/>
  <c r="J62" i="13"/>
  <c r="K61" i="13"/>
  <c r="J61" i="13"/>
  <c r="K60" i="13"/>
  <c r="J60" i="13"/>
  <c r="K59" i="13"/>
  <c r="J59" i="13"/>
  <c r="K58" i="13"/>
  <c r="J58" i="13"/>
  <c r="K57" i="13"/>
  <c r="J57" i="13"/>
  <c r="K56" i="13"/>
  <c r="J56" i="13"/>
  <c r="K55" i="13"/>
  <c r="J55" i="13"/>
  <c r="K54" i="13"/>
  <c r="J54" i="13"/>
  <c r="K53" i="13"/>
  <c r="J53" i="13"/>
  <c r="K52" i="13"/>
  <c r="J52" i="13"/>
  <c r="K51" i="13"/>
  <c r="J51" i="13"/>
  <c r="K50" i="13"/>
  <c r="J50" i="13"/>
  <c r="K49" i="13"/>
  <c r="J49" i="13"/>
  <c r="K48" i="13"/>
  <c r="J48" i="13"/>
  <c r="K47" i="13"/>
  <c r="J47" i="13"/>
  <c r="K46" i="13"/>
  <c r="J46" i="13"/>
  <c r="K45" i="13"/>
  <c r="J45" i="13"/>
  <c r="K44" i="13"/>
  <c r="J44" i="13"/>
  <c r="K43" i="13"/>
  <c r="J43" i="13"/>
  <c r="K42" i="13"/>
  <c r="J42" i="13"/>
  <c r="K41" i="13"/>
  <c r="J41" i="13"/>
  <c r="K40" i="13"/>
  <c r="J40" i="13"/>
  <c r="K39" i="13"/>
  <c r="J39" i="13"/>
  <c r="K38" i="13"/>
  <c r="J38" i="13"/>
  <c r="K37" i="13"/>
  <c r="J37" i="13"/>
  <c r="K36" i="13"/>
  <c r="J36" i="13"/>
  <c r="K35" i="13"/>
  <c r="J35" i="13"/>
  <c r="K34" i="13"/>
  <c r="J34" i="13"/>
  <c r="K33" i="13"/>
  <c r="J33" i="13"/>
  <c r="K32" i="13"/>
  <c r="J32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K23" i="13"/>
  <c r="J23" i="13"/>
  <c r="K22" i="13"/>
  <c r="J22" i="13"/>
  <c r="K21" i="13"/>
  <c r="J21" i="13"/>
  <c r="K20" i="13"/>
  <c r="J20" i="13"/>
  <c r="K19" i="13"/>
  <c r="J19" i="13"/>
  <c r="K18" i="13"/>
  <c r="J18" i="13"/>
  <c r="K17" i="13"/>
  <c r="J17" i="13"/>
  <c r="K16" i="13"/>
  <c r="J16" i="13"/>
  <c r="K15" i="13"/>
  <c r="J15" i="13"/>
  <c r="K14" i="13"/>
  <c r="J14" i="13"/>
  <c r="K13" i="13"/>
  <c r="J13" i="13"/>
  <c r="K12" i="13"/>
  <c r="J12" i="13"/>
  <c r="K11" i="13"/>
  <c r="J11" i="13"/>
  <c r="K10" i="13"/>
  <c r="J10" i="13"/>
  <c r="K9" i="13"/>
  <c r="J9" i="13"/>
  <c r="K8" i="13"/>
  <c r="J8" i="13"/>
  <c r="K7" i="13"/>
  <c r="J7" i="13"/>
  <c r="K6" i="13"/>
  <c r="J6" i="13"/>
  <c r="K5" i="13"/>
  <c r="J5" i="13"/>
  <c r="K4" i="13"/>
  <c r="J4" i="13"/>
  <c r="K3" i="13"/>
  <c r="J3" i="13"/>
  <c r="K2" i="13"/>
  <c r="J2" i="13"/>
</calcChain>
</file>

<file path=xl/sharedStrings.xml><?xml version="1.0" encoding="utf-8"?>
<sst xmlns="http://schemas.openxmlformats.org/spreadsheetml/2006/main" count="420" uniqueCount="223">
  <si>
    <t>id_centro</t>
  </si>
  <si>
    <t>nombre</t>
  </si>
  <si>
    <t>ciudad</t>
  </si>
  <si>
    <t>país</t>
  </si>
  <si>
    <t>id_contrato</t>
  </si>
  <si>
    <t>horas_anuales</t>
  </si>
  <si>
    <t>horas_por_turno</t>
  </si>
  <si>
    <t>Contrato 100%</t>
  </si>
  <si>
    <t>Contrato 91.2%</t>
  </si>
  <si>
    <t>Contrato 90%</t>
  </si>
  <si>
    <t>Contrato 70%</t>
  </si>
  <si>
    <t>Contrato 40.7%</t>
  </si>
  <si>
    <t>Contrato 40%</t>
  </si>
  <si>
    <t>Contrato 25.3%</t>
  </si>
  <si>
    <t>id_trabajador</t>
  </si>
  <si>
    <t>numero_vendedor</t>
  </si>
  <si>
    <t>apellidos</t>
  </si>
  <si>
    <t>correo</t>
  </si>
  <si>
    <t>activo</t>
  </si>
  <si>
    <t>estado</t>
  </si>
  <si>
    <t>disponibilidad</t>
  </si>
  <si>
    <t>fijo_discontinuo</t>
  </si>
  <si>
    <t>ANGELA MARI</t>
  </si>
  <si>
    <t>SANFELIU</t>
  </si>
  <si>
    <t>angela.sanfeliu@elcorteingles.es</t>
  </si>
  <si>
    <t>M</t>
  </si>
  <si>
    <t>AMPARO</t>
  </si>
  <si>
    <t>MAS ALARIO</t>
  </si>
  <si>
    <t>amparo.masalario@elcorteingles.es</t>
  </si>
  <si>
    <t>INMACULADA</t>
  </si>
  <si>
    <t>LOPEZ CARSI</t>
  </si>
  <si>
    <t>inmaculada.lopezcarsi@elcorteingles.es</t>
  </si>
  <si>
    <t>PILAR</t>
  </si>
  <si>
    <t>TUDELA ALCAIDE</t>
  </si>
  <si>
    <t>pilar.tudelaalcaide@elcorteingles.es</t>
  </si>
  <si>
    <t>ROLANDO</t>
  </si>
  <si>
    <t>PRIETO SIFONTES</t>
  </si>
  <si>
    <t>rolando.prietosifontes@elcorteingles.es</t>
  </si>
  <si>
    <t>A</t>
  </si>
  <si>
    <t>ROBERTO</t>
  </si>
  <si>
    <t>VALERI BULLS</t>
  </si>
  <si>
    <t>roberto.valeribulls@elcorteingles.es</t>
  </si>
  <si>
    <t>T</t>
  </si>
  <si>
    <t>SARAY</t>
  </si>
  <si>
    <t>MARTINEZ AVILA</t>
  </si>
  <si>
    <t>saray.martinezavila@elcorteingles.es</t>
  </si>
  <si>
    <t>DAVID JORGE</t>
  </si>
  <si>
    <t>PRADANOS ARRIBAS</t>
  </si>
  <si>
    <t>davidjorge.pradanosarribas@elcorteingles.es</t>
  </si>
  <si>
    <t>RAQUEL</t>
  </si>
  <si>
    <t>BRENTA VILLORA</t>
  </si>
  <si>
    <t>raquel.brentavillora@elcorteingles.es</t>
  </si>
  <si>
    <t>DIEGO</t>
  </si>
  <si>
    <t>SANCHEZ MARTINEZ</t>
  </si>
  <si>
    <t>diego.sanchezmartinez@elcorteingles.es</t>
  </si>
  <si>
    <t>LORENA</t>
  </si>
  <si>
    <t>GIMENO MARIN</t>
  </si>
  <si>
    <t>lorena.gimenomarin@elcorteingles.es</t>
  </si>
  <si>
    <t>ENIO JESÚS</t>
  </si>
  <si>
    <t>SANCHEZ MORA</t>
  </si>
  <si>
    <t>eniojesus.sanchezmora@elcorteingles.es</t>
  </si>
  <si>
    <t>SUSANA</t>
  </si>
  <si>
    <t>SENENT DOMINGO</t>
  </si>
  <si>
    <t>susana.senentdomingo@elcorteingles.es</t>
  </si>
  <si>
    <t>RUBEN</t>
  </si>
  <si>
    <t>LATORRE AGUILAR</t>
  </si>
  <si>
    <t>ruben.latorreaguilar@elcorteingles.es</t>
  </si>
  <si>
    <t>IVÁN</t>
  </si>
  <si>
    <t>ARJONA GOMAR</t>
  </si>
  <si>
    <t>ivan.arjonagomar@elcorteingles.es</t>
  </si>
  <si>
    <t>HECTOR</t>
  </si>
  <si>
    <t>CABO SIMON</t>
  </si>
  <si>
    <t>hector.cabosimon@elcorteingles.es</t>
  </si>
  <si>
    <t>MAYRA ALEJANDRA</t>
  </si>
  <si>
    <t>CASTRO BANGUERA</t>
  </si>
  <si>
    <t>mayraalejandra.castrobanguera@elcorteingles.es</t>
  </si>
  <si>
    <t>INMA</t>
  </si>
  <si>
    <t>TORMO ALEIXANDRE</t>
  </si>
  <si>
    <t>inma.tormoaleixandre@elcorteingles.es</t>
  </si>
  <si>
    <t>CARMEN</t>
  </si>
  <si>
    <t>ROMERO SOLER</t>
  </si>
  <si>
    <t>carmen.romerosoler@elcorteingles.es</t>
  </si>
  <si>
    <t>MANEL</t>
  </si>
  <si>
    <t>SERRA CHOQUE</t>
  </si>
  <si>
    <t>manel.serrachoque@elcorteingles.es</t>
  </si>
  <si>
    <t>M. CARMEN</t>
  </si>
  <si>
    <t>SALES COSTA</t>
  </si>
  <si>
    <t>mcarmen.salescosta@elcorteingles.es</t>
  </si>
  <si>
    <t>SANTIAGO</t>
  </si>
  <si>
    <t>HIDALGO LOPEZ</t>
  </si>
  <si>
    <t>santiago.hidalgolopez@elcorteingles.es</t>
  </si>
  <si>
    <t>ALEJANDRO</t>
  </si>
  <si>
    <t>GUTIERREZ VILLALBA</t>
  </si>
  <si>
    <t>alejandro.gutierrezvillalba@elcorteingles.es</t>
  </si>
  <si>
    <t>SERGIO</t>
  </si>
  <si>
    <t>SANZ LOPEZ</t>
  </si>
  <si>
    <t>sergio.sanzlopez@elcorteingles.es</t>
  </si>
  <si>
    <t>CANDELA</t>
  </si>
  <si>
    <t>MIJANCOS CARAVACA</t>
  </si>
  <si>
    <t>candela.mijancoscaravaca@elcorteingles.es</t>
  </si>
  <si>
    <t>PACHECO GIMÉNEZ</t>
  </si>
  <si>
    <t>alejandro.pachecogimenez@elcorteingles.es</t>
  </si>
  <si>
    <t>SAMUEL</t>
  </si>
  <si>
    <t>ORTIZ HEREDIA</t>
  </si>
  <si>
    <t>samuel.ortizheredia@elcorteingles.es</t>
  </si>
  <si>
    <t>ARTERO GARCIA</t>
  </si>
  <si>
    <t>ivan.arterogarcia@elcorteingles.es</t>
  </si>
  <si>
    <t>NIRVANA SOFI</t>
  </si>
  <si>
    <t>RIOS NG</t>
  </si>
  <si>
    <t>nirvanasofi.riosng@elcorteingles.es</t>
  </si>
  <si>
    <t>RODRIGUEZ HERRERO</t>
  </si>
  <si>
    <t>alejandro.rodriguezherrero@elcorteingles.es</t>
  </si>
  <si>
    <t>MERCEDES</t>
  </si>
  <si>
    <t>DELGADO TEBAR</t>
  </si>
  <si>
    <t>mercedes.delgadotebar@elcorteingles.es</t>
  </si>
  <si>
    <t>ANDREU</t>
  </si>
  <si>
    <t>SOLER MARQUEZ</t>
  </si>
  <si>
    <t>andreu.solermarquez@elcorteingles.es</t>
  </si>
  <si>
    <t>SARA</t>
  </si>
  <si>
    <t>VALERO MARTINEZ</t>
  </si>
  <si>
    <t>sara.valeromartinez@elcorteingles.es</t>
  </si>
  <si>
    <t>NATALIA</t>
  </si>
  <si>
    <t>FITO ARRAEZ</t>
  </si>
  <si>
    <t>natalia.fitoarraez@elcorteingles.es</t>
  </si>
  <si>
    <t>MARIELA RAMON</t>
  </si>
  <si>
    <t>VARGAS HERNANDEZ</t>
  </si>
  <si>
    <t>marielaramon.vargashernandez@elcorteingles.es</t>
  </si>
  <si>
    <t>ANTONIO</t>
  </si>
  <si>
    <t>MENCHERO ERQUICIA</t>
  </si>
  <si>
    <t>antonio.mencheroerquicia@elcorteingles.es</t>
  </si>
  <si>
    <t>FIDEL</t>
  </si>
  <si>
    <t>BLANQUEZ HERRERA</t>
  </si>
  <si>
    <t>fidel.blanquezherrera@elcorteingles.es</t>
  </si>
  <si>
    <t>ADRIAN</t>
  </si>
  <si>
    <t>SALVADOR SANGERMAN</t>
  </si>
  <si>
    <t>adrian.salvadorsangerman@elcorteingles.es</t>
  </si>
  <si>
    <t>JUDITH</t>
  </si>
  <si>
    <t>COLETO PEREZ</t>
  </si>
  <si>
    <t>judith.coletoperez@elcorteingles.es</t>
  </si>
  <si>
    <t>ALVARO</t>
  </si>
  <si>
    <t>GOMEZ GALLEGO</t>
  </si>
  <si>
    <t>alvaro.gomezgallego@elcorteingles.es</t>
  </si>
  <si>
    <t>MARCOS</t>
  </si>
  <si>
    <t>IBAÑEZ DE LEON</t>
  </si>
  <si>
    <t>marcos.ibanezdeleon@elcorteingles.es</t>
  </si>
  <si>
    <t>LUCIA</t>
  </si>
  <si>
    <t>MARCH ADELANTADO</t>
  </si>
  <si>
    <t>lucia.marchadelantado@elcorteingles.es</t>
  </si>
  <si>
    <t>ITZIAR</t>
  </si>
  <si>
    <t>SANCHEZ DEFEZ</t>
  </si>
  <si>
    <t>itziar.sanchezdefez@elcorteingles.es</t>
  </si>
  <si>
    <t>NICOLÁS</t>
  </si>
  <si>
    <t>JIMÉNEZ ÍÑIGO</t>
  </si>
  <si>
    <t>nicolas.jimenezinigo@elcorteingles.es</t>
  </si>
  <si>
    <t>VARGAS FLORES</t>
  </si>
  <si>
    <t>marcos.vargasflores@elcorteingles.es</t>
  </si>
  <si>
    <t>MANUEL MIGUEL</t>
  </si>
  <si>
    <t>VARGAS FERNANDEZ</t>
  </si>
  <si>
    <t>manuelmiguel.vargasfernandez@elcorteingles.es</t>
  </si>
  <si>
    <t>MARTIN HERNANZ</t>
  </si>
  <si>
    <t>sergio.martinhernanz@elcorteingles.es</t>
  </si>
  <si>
    <t>VICTOR</t>
  </si>
  <si>
    <t>GUILLEN LEON</t>
  </si>
  <si>
    <t>victor.guillenleon@elcorteingles.es</t>
  </si>
  <si>
    <t>id_tarea</t>
  </si>
  <si>
    <t>descripción</t>
  </si>
  <si>
    <t>activa</t>
  </si>
  <si>
    <t>id_disponibilidad</t>
  </si>
  <si>
    <t>turno</t>
  </si>
  <si>
    <t>id_turno</t>
  </si>
  <si>
    <t>fecha_inicio</t>
  </si>
  <si>
    <t>fecha_fin</t>
  </si>
  <si>
    <t>motivo</t>
  </si>
  <si>
    <t>Vacaciones</t>
  </si>
  <si>
    <t>A1</t>
  </si>
  <si>
    <t>D1</t>
  </si>
  <si>
    <t>B2</t>
  </si>
  <si>
    <t>C2</t>
  </si>
  <si>
    <t>E1</t>
  </si>
  <si>
    <t>E2</t>
  </si>
  <si>
    <t>B1</t>
  </si>
  <si>
    <t>A3</t>
  </si>
  <si>
    <t>D2</t>
  </si>
  <si>
    <t>id_periodo</t>
  </si>
  <si>
    <t>codigo</t>
  </si>
  <si>
    <t>tipo</t>
  </si>
  <si>
    <t>Larga</t>
  </si>
  <si>
    <t>Corta</t>
  </si>
  <si>
    <t>A2</t>
  </si>
  <si>
    <t>C1</t>
  </si>
  <si>
    <t>E3</t>
  </si>
  <si>
    <t>Fecha de venta</t>
  </si>
  <si>
    <r>
      <t xml:space="preserve">Núm. pedidos </t>
    </r>
    <r>
      <rPr>
        <sz val="14"/>
        <color rgb="FFFF0000"/>
        <rFont val="Aptos Narrow"/>
        <family val="2"/>
        <scheme val="minor"/>
      </rPr>
      <t xml:space="preserve">2h </t>
    </r>
    <r>
      <rPr>
        <sz val="14"/>
        <color rgb="FFFF0000"/>
        <rFont val="Aptos Narrow (Cuerpo)"/>
      </rPr>
      <t>MCIA GENERAL</t>
    </r>
  </si>
  <si>
    <r>
      <t xml:space="preserve">Núm. Líneas </t>
    </r>
    <r>
      <rPr>
        <b/>
        <sz val="14"/>
        <color rgb="FFFF0000"/>
        <rFont val="Aptos Narrow (Cuerpo)"/>
      </rPr>
      <t>2h</t>
    </r>
    <r>
      <rPr>
        <b/>
        <sz val="14"/>
        <color theme="1"/>
        <rFont val="Aptos Narrow"/>
        <family val="2"/>
        <scheme val="minor"/>
      </rPr>
      <t xml:space="preserve"> </t>
    </r>
    <r>
      <rPr>
        <b/>
        <sz val="14"/>
        <color rgb="FFFF0000"/>
        <rFont val="Aptos Narrow (Cuerpo)"/>
      </rPr>
      <t>MCIA GENERAL</t>
    </r>
  </si>
  <si>
    <r>
      <t xml:space="preserve">Núm. pedidos 2h </t>
    </r>
    <r>
      <rPr>
        <b/>
        <sz val="14"/>
        <color rgb="FFFF0000"/>
        <rFont val="Aptos Narrow (Cuerpo)"/>
      </rPr>
      <t>FOOD</t>
    </r>
  </si>
  <si>
    <r>
      <t xml:space="preserve">Núm. líneas 2h </t>
    </r>
    <r>
      <rPr>
        <b/>
        <sz val="14"/>
        <color rgb="FFFF0000"/>
        <rFont val="Aptos Narrow (Cuerpo)"/>
      </rPr>
      <t>FOOD</t>
    </r>
  </si>
  <si>
    <r>
      <t xml:space="preserve">Núm. pedidos </t>
    </r>
    <r>
      <rPr>
        <b/>
        <sz val="14"/>
        <color rgb="FFFF0000"/>
        <rFont val="Aptos Narrow (Cuerpo)"/>
      </rPr>
      <t>ENCARGOS</t>
    </r>
  </si>
  <si>
    <r>
      <t xml:space="preserve">Núm. líneas </t>
    </r>
    <r>
      <rPr>
        <b/>
        <sz val="14"/>
        <color rgb="FFFF0000"/>
        <rFont val="Aptos Narrow (Cuerpo)"/>
      </rPr>
      <t>ENCARGOS</t>
    </r>
  </si>
  <si>
    <r>
      <t xml:space="preserve">Núm. pedidos </t>
    </r>
    <r>
      <rPr>
        <b/>
        <sz val="14"/>
        <color rgb="FFFF0000"/>
        <rFont val="Aptos Narrow (Cuerpo)"/>
      </rPr>
      <t>HOME DELIVERY</t>
    </r>
  </si>
  <si>
    <r>
      <t xml:space="preserve">Núm. líneas </t>
    </r>
    <r>
      <rPr>
        <b/>
        <sz val="14"/>
        <color rgb="FFFF0000"/>
        <rFont val="Aptos Narrow (Cuerpo)"/>
      </rPr>
      <t>HOME DELIVERY</t>
    </r>
  </si>
  <si>
    <r>
      <t xml:space="preserve">Total </t>
    </r>
    <r>
      <rPr>
        <b/>
        <sz val="14"/>
        <color rgb="FFFF0000"/>
        <rFont val="Aptos Narrow (Cuerpo)"/>
      </rPr>
      <t>PEDIDOS</t>
    </r>
  </si>
  <si>
    <r>
      <t xml:space="preserve">Total </t>
    </r>
    <r>
      <rPr>
        <b/>
        <sz val="14"/>
        <color rgb="FFFF0000"/>
        <rFont val="Aptos Narrow (Cuerpo)"/>
      </rPr>
      <t>LÍNEAS</t>
    </r>
  </si>
  <si>
    <t>id_promocion</t>
  </si>
  <si>
    <t>descripcion</t>
  </si>
  <si>
    <t>Inventado</t>
  </si>
  <si>
    <t>Feliz 2025 supongo que empezaría el 26-12-24</t>
  </si>
  <si>
    <t>Feliz 2026 pone que es con un 40%</t>
  </si>
  <si>
    <t>Aparece separado en Promos 2026 pero en Qmatic junto</t>
  </si>
  <si>
    <t>En Qmatic pone 50%, promos 2026 no pero imagino q será igual</t>
  </si>
  <si>
    <t>En promos 2026 pone Día del niño tb</t>
  </si>
  <si>
    <t>id_calendario</t>
  </si>
  <si>
    <t>fecha</t>
  </si>
  <si>
    <t>centro_abierto</t>
  </si>
  <si>
    <t>es_festivo</t>
  </si>
  <si>
    <t>dia_posterior_festivo</t>
  </si>
  <si>
    <t>hora_apertura</t>
  </si>
  <si>
    <t>hora_cierre</t>
  </si>
  <si>
    <t xml:space="preserve">Rosana dijo que a partir del Black Friday los días festivos el horario era de 10 a 22, lo he puesto así a partir del 4o jueves de noviembre, pero no tengo claro si sería desde un poco antes </t>
  </si>
  <si>
    <t>id_prediccion</t>
  </si>
  <si>
    <t>pedidos_previstos</t>
  </si>
  <si>
    <t>fecha_generacion</t>
  </si>
  <si>
    <t>id_planificacion</t>
  </si>
  <si>
    <t>horas_necesarias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</si>
</sst>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;@"/>
    <numFmt numFmtId="165" formatCode="d\-m\-yy;@"/>
    <numFmt numFmtId="166" formatCode="0.0"/>
    <numFmt numFmtId="167" formatCode="h:mm;@"/>
    <numFmt numFmtId="168" formatCode="[=1]&quot;VERDADERO&quot;;[=0]&quot;FALSO&quot;"/>
  </numFmts>
  <fonts count="20">
    <font>
      <sz val="12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4"/>
      <color rgb="FFFF0000"/>
      <name val="Aptos Narrow (Cuerpo)"/>
    </font>
    <font>
      <b/>
      <sz val="14"/>
      <color rgb="FFFF0000"/>
      <name val="Aptos Narrow (Cuerpo)"/>
    </font>
    <font>
      <b/>
      <sz val="14"/>
      <color theme="1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b/>
      <sz val="14"/>
      <color theme="4" tint="-0.249977111117893"/>
      <name val="Aptos Narrow"/>
      <family val="2"/>
      <scheme val="minor"/>
    </font>
    <font>
      <b/>
      <sz val="12"/>
      <color rgb="FFFF0000"/>
      <name val="Aptos Narrow (Cuerpo)"/>
    </font>
    <font>
      <sz val="8"/>
      <name val="Aptos Narrow"/>
      <family val="2"/>
      <scheme val="minor"/>
    </font>
    <font>
      <sz val="12"/>
      <color rgb="FF10486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5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rgb="FFFF0000"/>
      <name val="Aptos Narrow"/>
      <family val="2"/>
      <scheme val="minor"/>
    </font>
    <font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rgb="FFCD5937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0" fontId="15" fillId="0" borderId="0"/>
  </cellStyleXfs>
  <cellXfs count="5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4" fillId="0" borderId="1" xfId="0" applyFont="1" applyBorder="1"/>
    <xf numFmtId="1" fontId="0" fillId="0" borderId="0" xfId="0" applyNumberFormat="1"/>
    <xf numFmtId="2" fontId="4" fillId="0" borderId="1" xfId="0" applyNumberFormat="1" applyFont="1" applyBorder="1"/>
    <xf numFmtId="1" fontId="4" fillId="0" borderId="1" xfId="0" applyNumberFormat="1" applyFont="1" applyBorder="1"/>
    <xf numFmtId="1" fontId="5" fillId="2" borderId="0" xfId="0" applyNumberFormat="1" applyFont="1" applyFill="1"/>
    <xf numFmtId="0" fontId="6" fillId="0" borderId="1" xfId="0" applyFont="1" applyBorder="1"/>
    <xf numFmtId="2" fontId="6" fillId="0" borderId="1" xfId="0" applyNumberFormat="1" applyFont="1" applyBorder="1"/>
    <xf numFmtId="1" fontId="6" fillId="0" borderId="1" xfId="0" applyNumberFormat="1" applyFont="1" applyBorder="1"/>
    <xf numFmtId="166" fontId="5" fillId="2" borderId="0" xfId="0" applyNumberFormat="1" applyFont="1" applyFill="1"/>
    <xf numFmtId="165" fontId="6" fillId="0" borderId="1" xfId="0" applyNumberFormat="1" applyFont="1" applyBorder="1"/>
    <xf numFmtId="165" fontId="5" fillId="2" borderId="0" xfId="0" applyNumberFormat="1" applyFont="1" applyFill="1"/>
    <xf numFmtId="1" fontId="9" fillId="0" borderId="0" xfId="0" applyNumberFormat="1" applyFont="1"/>
    <xf numFmtId="1" fontId="9" fillId="3" borderId="0" xfId="0" applyNumberFormat="1" applyFont="1" applyFill="1"/>
    <xf numFmtId="0" fontId="9" fillId="3" borderId="0" xfId="0" applyFont="1" applyFill="1"/>
    <xf numFmtId="165" fontId="9" fillId="3" borderId="0" xfId="0" applyNumberFormat="1" applyFont="1" applyFill="1"/>
    <xf numFmtId="166" fontId="9" fillId="3" borderId="0" xfId="0" applyNumberFormat="1" applyFont="1" applyFill="1"/>
    <xf numFmtId="165" fontId="10" fillId="0" borderId="0" xfId="0" applyNumberFormat="1" applyFont="1" applyAlignment="1">
      <alignment horizontal="right"/>
    </xf>
    <xf numFmtId="1" fontId="10" fillId="0" borderId="0" xfId="0" applyNumberFormat="1" applyFont="1"/>
    <xf numFmtId="0" fontId="10" fillId="0" borderId="0" xfId="0" applyFont="1"/>
    <xf numFmtId="165" fontId="10" fillId="0" borderId="0" xfId="0" applyNumberFormat="1" applyFont="1" applyAlignment="1">
      <alignment horizontal="right" vertical="center"/>
    </xf>
    <xf numFmtId="0" fontId="11" fillId="0" borderId="0" xfId="0" applyFont="1"/>
    <xf numFmtId="165" fontId="11" fillId="0" borderId="0" xfId="0" applyNumberFormat="1" applyFont="1" applyAlignment="1">
      <alignment horizontal="right"/>
    </xf>
    <xf numFmtId="165" fontId="12" fillId="4" borderId="0" xfId="0" applyNumberFormat="1" applyFont="1" applyFill="1" applyAlignment="1">
      <alignment horizontal="right"/>
    </xf>
    <xf numFmtId="0" fontId="7" fillId="4" borderId="0" xfId="0" applyFont="1" applyFill="1"/>
    <xf numFmtId="165" fontId="13" fillId="4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67" fontId="6" fillId="0" borderId="1" xfId="0" applyNumberFormat="1" applyFont="1" applyBorder="1"/>
    <xf numFmtId="167" fontId="5" fillId="2" borderId="0" xfId="0" applyNumberFormat="1" applyFont="1" applyFill="1"/>
    <xf numFmtId="167" fontId="0" fillId="0" borderId="0" xfId="0" applyNumberFormat="1"/>
    <xf numFmtId="168" fontId="5" fillId="2" borderId="0" xfId="0" applyNumberFormat="1" applyFont="1" applyFill="1"/>
    <xf numFmtId="168" fontId="0" fillId="0" borderId="0" xfId="0" applyNumberFormat="1"/>
    <xf numFmtId="0" fontId="14" fillId="0" borderId="0" xfId="0" applyFont="1"/>
    <xf numFmtId="1" fontId="16" fillId="5" borderId="0" xfId="0" applyNumberFormat="1" applyFont="1" applyFill="1"/>
    <xf numFmtId="1" fontId="0" fillId="5" borderId="0" xfId="0" applyNumberFormat="1" applyFill="1"/>
    <xf numFmtId="164" fontId="5" fillId="2" borderId="0" xfId="0" applyNumberFormat="1" applyFont="1" applyFill="1"/>
    <xf numFmtId="1" fontId="5" fillId="2" borderId="0" xfId="0" applyNumberFormat="1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2" fontId="6" fillId="0" borderId="1" xfId="0" applyNumberFormat="1" applyFont="1" applyBorder="1" applyAlignment="1">
      <alignment horizontal="left" vertical="center"/>
    </xf>
    <xf numFmtId="1" fontId="14" fillId="0" borderId="0" xfId="0" applyNumberFormat="1" applyFont="1"/>
    <xf numFmtId="0" fontId="17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19" fillId="0" borderId="0" xfId="0" applyFont="1"/>
    <xf numFmtId="0" fontId="18" fillId="0" borderId="0" xfId="0" applyFont="1"/>
    <xf numFmtId="0" fontId="6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4" fontId="6" fillId="0" borderId="1" xfId="0" applyNumberFormat="1" applyFont="1" applyBorder="1"/>
    <xf numFmtId="14" fontId="5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</cellXfs>
  <cellStyles count="2">
    <cellStyle name="Normal" xfId="0" builtinId="0"/>
    <cellStyle name="Normal 2" xfId="1" xr:uid="{F6748941-3603-489E-800B-0C6948BB427F}"/>
  </cellStyles>
  <dxfs count="170">
    <dxf>
      <numFmt numFmtId="1" formatCode="0"/>
    </dxf>
    <dxf>
      <numFmt numFmtId="1" formatCode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4" formatCode="dd\-mm\-yy;@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E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8F0261B-4677-E745-9FE9-0E0401352286}" name="Tabla15" displayName="Tabla15" ref="A1:D4" totalsRowShown="0" headerRowDxfId="157" headerRowBorderDxfId="156" tableBorderDxfId="155">
  <autoFilter ref="A1:D4" xr:uid="{08F0261B-4677-E745-9FE9-0E0401352286}"/>
  <tableColumns count="4">
    <tableColumn id="1" xr3:uid="{5D435692-EDD2-B847-9648-8F662078E497}" name="id_centro" dataDxfId="154"/>
    <tableColumn id="2" xr3:uid="{A3EA108D-6F9A-9741-A9E3-3F6328411A0C}" name="nombre" dataDxfId="153"/>
    <tableColumn id="3" xr3:uid="{3A435F6B-9E25-BA4D-B2E9-AFCECC86E86D}" name="ciudad" dataDxfId="152"/>
    <tableColumn id="4" xr3:uid="{CA7A1476-F6D2-0C40-B5A2-F1C714530250}" name="país" dataDxfId="151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A5378D-8E0B-3344-84B0-A43F7FD66A2A}" name="Tabla13" displayName="Tabla13" ref="A1:D47" totalsRowShown="0" headerRowDxfId="150" dataDxfId="148" headerRowBorderDxfId="149" tableBorderDxfId="147">
  <autoFilter ref="A1:D47" xr:uid="{8CA5378D-8E0B-3344-84B0-A43F7FD66A2A}"/>
  <tableColumns count="4">
    <tableColumn id="1" xr3:uid="{4B7A1F0E-D351-7A43-A6C6-E29F2C5CD159}" name="id_contrato" dataDxfId="146"/>
    <tableColumn id="2" xr3:uid="{AB689811-1ECF-EA41-B905-831CA775C579}" name="nombre" dataDxfId="145"/>
    <tableColumn id="3" xr3:uid="{E54D8F43-4E05-FA44-8466-58ECAB05F1C8}" name="horas_anuales" dataDxfId="144"/>
    <tableColumn id="13" xr3:uid="{C06A44DB-50CE-1F4C-BAB5-A4C5B51977D8}" name="horas_por_turno" dataDxfId="143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19CA86-ACCD-4449-8011-51135254CA5F}" name="Tabla134" displayName="Tabla134" ref="A1:K49" totalsRowShown="0" headerRowDxfId="142" dataDxfId="140" headerRowBorderDxfId="141" tableBorderDxfId="139">
  <autoFilter ref="A1:K49" xr:uid="{0A19CA86-ACCD-4449-8011-51135254CA5F}"/>
  <tableColumns count="11">
    <tableColumn id="1" xr3:uid="{C417F038-C1D8-7A47-BE69-8E576B18B442}" name="id_trabajador" dataDxfId="138"/>
    <tableColumn id="2" xr3:uid="{591B6096-CF4B-294F-82C0-F554C0AF5563}" name="numero_vendedor" dataDxfId="137"/>
    <tableColumn id="3" xr3:uid="{EBF71E50-07C4-8F44-90BE-AEB2121DFCC9}" name="nombre" dataDxfId="136"/>
    <tableColumn id="16" xr3:uid="{C24B27B6-5CF3-F744-B3F9-278D23C1CE3C}" name="apellidos" dataDxfId="135"/>
    <tableColumn id="18" xr3:uid="{03B0D573-9DC0-F246-B354-AF641459DC05}" name="correo" dataDxfId="134"/>
    <tableColumn id="17" xr3:uid="{F773BB42-A30A-8543-9592-C0782A441ED8}" name="activo" dataDxfId="133"/>
    <tableColumn id="13" xr3:uid="{936963EF-CCC9-DE4F-8C9E-DE3871AE716E}" name="id_contrato" dataDxfId="132"/>
    <tableColumn id="4" xr3:uid="{3CAD9400-291F-9C43-953A-73AF6375BA1B}" name="id_centro" dataDxfId="131"/>
    <tableColumn id="7" xr3:uid="{BDEB0CF5-3EFA-49FC-B913-4ADF3CC3C227}" name="estado" dataDxfId="130"/>
    <tableColumn id="5" xr3:uid="{2B14AB8C-D847-4418-B23B-BD7B3A66B0C7}" name="disponibilidad" dataDxfId="129"/>
    <tableColumn id="6" xr3:uid="{7ADE2127-1FBC-43B9-B0EC-F16FC6863406}" name="fijo_discontinuo" dataDxfId="128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D09D17-92BD-384D-8E6F-63BF3B3E7B71}" name="Tabla1346" displayName="Tabla1346" ref="A1:D55" totalsRowShown="0" headerRowDxfId="127" headerRowBorderDxfId="126" tableBorderDxfId="125">
  <autoFilter ref="A1:D55" xr:uid="{4AD09D17-92BD-384D-8E6F-63BF3B3E7B71}"/>
  <tableColumns count="4">
    <tableColumn id="1" xr3:uid="{73B14163-61F2-3048-B8B8-2DFC152E602B}" name="id_tarea" dataDxfId="124"/>
    <tableColumn id="2" xr3:uid="{9037C867-4DA3-BF4F-BC39-54C38AE5514B}" name="nombre" dataDxfId="123"/>
    <tableColumn id="3" xr3:uid="{F05CBF3F-388F-5242-BA89-0FD9CA8FD482}" name="descripción" dataDxfId="122"/>
    <tableColumn id="16" xr3:uid="{C714CC22-DA75-ED43-9697-6028BC155C5C}" name="activa" dataDxfId="121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5DF20D-508D-B744-B72C-3342FE579EAA}" name="Tabla13467" displayName="Tabla13467" ref="A1:B471" totalsRowShown="0" headerRowDxfId="120" headerRowBorderDxfId="119" tableBorderDxfId="118">
  <autoFilter ref="A1:B471" xr:uid="{945DF20D-508D-B744-B72C-3342FE579EAA}"/>
  <tableColumns count="2">
    <tableColumn id="1" xr3:uid="{FAB77B55-5238-2E43-95D4-C54F13E7AFB6}" name="id_trabajador"/>
    <tableColumn id="2" xr3:uid="{CD8544E7-37BB-A443-8199-1C77F28607D7}" name="id_tarea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3C224A-A6AF-2D47-BB8E-AEAA95E2B148}" name="Tabla13468" displayName="Tabla13468" ref="A1:G99" totalsRowShown="0" headerRowDxfId="117" dataDxfId="115" headerRowBorderDxfId="116" tableBorderDxfId="114">
  <autoFilter ref="A1:G99" xr:uid="{EA3C224A-A6AF-2D47-BB8E-AEAA95E2B148}"/>
  <tableColumns count="7">
    <tableColumn id="1" xr3:uid="{F4A32A7F-D9AB-8C41-AEF6-95732925F04F}" name="id_disponibilidad" dataDxfId="113"/>
    <tableColumn id="2" xr3:uid="{863DC43A-9C1F-5E43-A929-17115013E9CD}" name="id_trabajador" dataDxfId="112"/>
    <tableColumn id="4" xr3:uid="{25E92828-825E-49E0-964C-751F680C4E5F}" name="turno" dataDxfId="111"/>
    <tableColumn id="5" xr3:uid="{B7D211C6-24A6-4B79-B32C-46452CDDBB67}" name="id_turno" dataDxfId="110"/>
    <tableColumn id="3" xr3:uid="{968D861D-8847-6448-BE76-C1AD20C75076}" name="fecha_inicio" dataDxfId="109"/>
    <tableColumn id="19" xr3:uid="{C2B78840-F4B2-9645-A7D3-AB576D07B32F}" name="fecha_fin" dataDxfId="108"/>
    <tableColumn id="16" xr3:uid="{F5FB4218-2C22-DA44-A54E-D57F5269490E}" name="motivo" dataDxfId="107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688ED5B-E772-4452-8AAA-DD9090272975}" name="Tabla11" displayName="Tabla11" ref="A1:D45" totalsRowShown="0" headerRowDxfId="106">
  <autoFilter ref="A1:D45" xr:uid="{D688ED5B-E772-4452-8AAA-DD9090272975}"/>
  <tableColumns count="4">
    <tableColumn id="1" xr3:uid="{912C565F-6DE9-4D98-9E03-E8AE087DCFF5}" name="id_periodo" dataDxfId="105"/>
    <tableColumn id="2" xr3:uid="{4DF6BEE3-A039-4F7B-8574-F92E88CE9A0A}" name="id_trabajador" dataDxfId="104"/>
    <tableColumn id="3" xr3:uid="{866A9CFE-9553-4142-817C-8BFE39209A11}" name="fecha_inicio" dataDxfId="103"/>
    <tableColumn id="4" xr3:uid="{F1705708-AB46-4FC7-8922-2A7519D188D3}" name="fecha_fin" dataDxfId="10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453769B-FA37-47C8-988E-A41B252468AD}" name="Tabla10" displayName="Tabla10" ref="A1:E18" totalsRowShown="0" dataDxfId="101">
  <autoFilter ref="A1:E18" xr:uid="{2453769B-FA37-47C8-988E-A41B252468AD}"/>
  <tableColumns count="5">
    <tableColumn id="1" xr3:uid="{2F8C7909-DB1A-4E71-ACA5-30C85646A832}" name="id_turno" dataDxfId="100"/>
    <tableColumn id="2" xr3:uid="{986DC0A8-3BFF-4F97-ACB0-93CD412710F8}" name="codigo" dataDxfId="99"/>
    <tableColumn id="3" xr3:uid="{2A38DC4D-B22B-4570-B8E0-B958488AB9BE}" name="tipo" dataDxfId="98"/>
    <tableColumn id="4" xr3:uid="{AC7793B9-3A54-4B82-9C39-7BA4915AB3D5}" name="fecha_inicio" dataDxfId="97"/>
    <tableColumn id="5" xr3:uid="{5F611788-D1A8-4CF5-B0B0-5CA9094F5463}" name="fecha_fin" dataDxfId="9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58F5333-83D9-4A19-87D1-231E347C0DDA}" name="Tabla4213" displayName="Tabla4213" ref="A1:K1261" totalsRowShown="0" headerRowDxfId="95" headerRowBorderDxfId="94" tableBorderDxfId="93">
  <autoFilter ref="A1:K1261" xr:uid="{2B89BC2E-D55F-5842-B01D-454EDAB5DF66}"/>
  <tableColumns count="11">
    <tableColumn id="1" xr3:uid="{36439A81-7A3E-44A1-A33F-1F747B000F4E}" name="Fecha de venta" dataDxfId="92"/>
    <tableColumn id="2" xr3:uid="{269D3355-DB05-4DF9-9A33-6D67B548576B}" name="Núm. pedidos 2h MCIA GENERAL" dataDxfId="91"/>
    <tableColumn id="3" xr3:uid="{43C3EB88-0B68-43D8-8088-BE59F5D7986B}" name="Núm. Líneas 2h MCIA GENERAL" dataDxfId="90"/>
    <tableColumn id="4" xr3:uid="{CC05DE90-D050-4A37-B821-C378689FB50C}" name="Núm. pedidos 2h FOOD" dataDxfId="89"/>
    <tableColumn id="5" xr3:uid="{147CA945-36D5-4F00-AA04-74CA6D91218B}" name="Núm. líneas 2h FOOD" dataDxfId="88"/>
    <tableColumn id="6" xr3:uid="{27E7F499-B1E2-49F7-91DA-075E444C2FAF}" name="Núm. pedidos ENCARGOS" dataDxfId="87"/>
    <tableColumn id="7" xr3:uid="{32D4AA44-291D-40BF-8766-210D232D4D66}" name="Núm. líneas ENCARGOS" dataDxfId="86"/>
    <tableColumn id="8" xr3:uid="{46B69E8C-DC59-470C-A1CA-6EB76748182A}" name="Núm. pedidos HOME DELIVERY" dataDxfId="85"/>
    <tableColumn id="9" xr3:uid="{CBE73026-A544-4F16-8555-961AC89D1A65}" name="Núm. líneas HOME DELIVERY" dataDxfId="84"/>
    <tableColumn id="10" xr3:uid="{CF92C543-E230-4E03-9DA6-AEE45BD50CF7}" name="Total PEDIDOS" dataDxfId="83">
      <calculatedColumnFormula>SUM(B2,D2,F2,H2)</calculatedColumnFormula>
    </tableColumn>
    <tableColumn id="11" xr3:uid="{A024A804-B4EA-4BCE-A657-E8415898DDE5}" name="Total LÍNEAS" dataDxfId="82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90752E-22CB-4277-A815-902057EADE38}" name="Tabla42" displayName="Tabla42" ref="A1:K1261" totalsRowShown="0" headerRowDxfId="81" headerRowBorderDxfId="80" tableBorderDxfId="79">
  <autoFilter ref="A1:K1261" xr:uid="{2B89BC2E-D55F-5842-B01D-454EDAB5DF66}"/>
  <tableColumns count="11">
    <tableColumn id="1" xr3:uid="{CE770801-A3AB-4E23-82DC-055ECEBA10C9}" name="Fecha de venta" dataDxfId="78"/>
    <tableColumn id="2" xr3:uid="{6E128D95-C946-44C3-89CB-0395F475CDFA}" name="Núm. pedidos 2h MCIA GENERAL" dataDxfId="77"/>
    <tableColumn id="3" xr3:uid="{8BA70C63-4A73-4A37-9BB4-7DBB23E4ABF0}" name="Núm. Líneas 2h MCIA GENERAL" dataDxfId="76"/>
    <tableColumn id="4" xr3:uid="{DF10843E-720D-4943-A8B1-E3AD9B7129A5}" name="Núm. pedidos 2h FOOD" dataDxfId="75"/>
    <tableColumn id="5" xr3:uid="{6FA77626-37E3-4918-9DB9-D4EDB793FF28}" name="Núm. líneas 2h FOOD" dataDxfId="74"/>
    <tableColumn id="6" xr3:uid="{5C782A9D-BFD0-4818-B5BF-F73EE9131E21}" name="Núm. pedidos ENCARGOS" dataDxfId="73"/>
    <tableColumn id="7" xr3:uid="{4C73EAA1-974B-4659-9859-5FACD8D1BE6A}" name="Núm. líneas ENCARGOS" dataDxfId="72"/>
    <tableColumn id="8" xr3:uid="{3FEBBEB6-BC61-405B-ADE1-7ED637230B0B}" name="Núm. pedidos HOME DELIVERY" dataDxfId="71"/>
    <tableColumn id="9" xr3:uid="{53474F37-BF3D-448A-A189-7B2696B1AAAA}" name="Núm. líneas HOME DELIVERY" dataDxfId="70"/>
    <tableColumn id="10" xr3:uid="{6470BE08-51DB-4251-A495-3DBBEABF55DA}" name="Total PEDIDOS" dataDxfId="69">
      <calculatedColumnFormula>SUM(B2,D2,F2,H2)</calculatedColumnFormula>
    </tableColumn>
    <tableColumn id="11" xr3:uid="{752F93BA-FBB7-43AF-8009-EEAACBDA566B}" name="Total LÍNEAS" dataDxfId="68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AA06F6B-D785-4934-98AB-E01A2060989D}" name="Tabla417" displayName="Tabla417" ref="A1:K1278" totalsRowShown="0" headerRowDxfId="169" headerRowBorderDxfId="168" tableBorderDxfId="167">
  <autoFilter ref="A1:K1278" xr:uid="{2B89BC2E-D55F-5842-B01D-454EDAB5DF66}"/>
  <tableColumns count="11">
    <tableColumn id="1" xr3:uid="{58C23822-6128-4542-B7A5-E51491E81FD3}" name="Fecha de venta" dataDxfId="166"/>
    <tableColumn id="2" xr3:uid="{E8828DD1-C272-42E6-91FD-D760D0B21D60}" name="Núm. pedidos 2h MCIA GENERAL" dataDxfId="165"/>
    <tableColumn id="3" xr3:uid="{3E8E69B1-8B80-4A2A-A56C-951482AEE190}" name="Núm. Líneas 2h MCIA GENERAL" dataDxfId="164"/>
    <tableColumn id="4" xr3:uid="{0B6393CA-5C45-427D-A589-77DA49A8277E}" name="Núm. pedidos 2h FOOD" dataDxfId="163"/>
    <tableColumn id="5" xr3:uid="{565B05AF-C511-4EFB-A24E-011F3895F071}" name="Núm. líneas 2h FOOD" dataDxfId="162"/>
    <tableColumn id="6" xr3:uid="{3F8315B9-170D-4100-AF1F-23758084EA29}" name="Núm. pedidos ENCARGOS" dataDxfId="161"/>
    <tableColumn id="7" xr3:uid="{AE345366-5CD2-4DE1-8B01-16FBA4AED912}" name="Núm. líneas ENCARGOS" dataDxfId="160"/>
    <tableColumn id="8" xr3:uid="{A7C48529-0AEB-43E6-B2F8-03388DA20258}" name="Núm. pedidos HOME DELIVERY" dataDxfId="159"/>
    <tableColumn id="9" xr3:uid="{62A9961B-8FE3-4F98-881D-E35E6B3F4874}" name="Núm. líneas HOME DELIVERY" dataDxfId="158"/>
    <tableColumn id="10" xr3:uid="{F6724629-245B-49F3-A8CE-3339695A8F20}" name="Total PEDIDOS" dataDxfId="1">
      <calculatedColumnFormula>SUM(B2,D2,F2,H2)</calculatedColumnFormula>
    </tableColumn>
    <tableColumn id="11" xr3:uid="{86337445-03EE-4ED8-A442-100D3937052B}" name="Total LÍNEAS" dataDxfId="0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9BC2E-D55F-5842-B01D-454EDAB5DF66}" name="Tabla4" displayName="Tabla4" ref="A1:K1278" totalsRowShown="0" headerRowDxfId="67" headerRowBorderDxfId="66" tableBorderDxfId="65">
  <autoFilter ref="A1:K1278" xr:uid="{2B89BC2E-D55F-5842-B01D-454EDAB5DF66}"/>
  <tableColumns count="11">
    <tableColumn id="1" xr3:uid="{322A2685-28E5-5642-8932-22C4EB8B9B89}" name="Fecha de venta" dataDxfId="64"/>
    <tableColumn id="2" xr3:uid="{D357B182-6AF4-5345-A1D8-56015F7C9016}" name="Núm. pedidos 2h MCIA GENERAL" dataDxfId="63"/>
    <tableColumn id="3" xr3:uid="{9A2908B2-E6CD-C641-B122-165E3904705E}" name="Núm. Líneas 2h MCIA GENERAL" dataDxfId="62"/>
    <tableColumn id="4" xr3:uid="{0676B5AD-00A5-5A4A-8473-41681565ACD7}" name="Núm. pedidos 2h FOOD" dataDxfId="61"/>
    <tableColumn id="5" xr3:uid="{50E50665-B36E-0E4A-948F-524D7817E800}" name="Núm. líneas 2h FOOD" dataDxfId="60"/>
    <tableColumn id="6" xr3:uid="{109B6713-C43A-D747-9D05-880245629453}" name="Núm. pedidos ENCARGOS" dataDxfId="59"/>
    <tableColumn id="7" xr3:uid="{8254BB28-2A90-BE4D-87B1-B765AB7E9BD0}" name="Núm. líneas ENCARGOS" dataDxfId="58"/>
    <tableColumn id="8" xr3:uid="{25E06B8E-4E4D-4841-B38C-669A8E73823B}" name="Núm. pedidos HOME DELIVERY" dataDxfId="57"/>
    <tableColumn id="9" xr3:uid="{75722763-1DCC-6443-A5A6-71A175E1962F}" name="Núm. líneas HOME DELIVERY" dataDxfId="56"/>
    <tableColumn id="10" xr3:uid="{AD100775-273F-7B4C-87D4-948F6E47BA5A}" name="Total PEDIDOS" dataDxfId="55">
      <calculatedColumnFormula>SUM(B2,D2,F2,H2)</calculatedColumnFormula>
    </tableColumn>
    <tableColumn id="11" xr3:uid="{2AB573FC-6347-E34A-BC10-261ED11FB45F}" name="Total LÍNEAS" dataDxfId="54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BB956E-DCC3-5E4F-A769-147B2A83D4EA}" name="Tabla134689" displayName="Tabla134689" ref="A1:G136" totalsRowShown="0" headerRowDxfId="53" dataDxfId="51" headerRowBorderDxfId="52" tableBorderDxfId="50">
  <autoFilter ref="A1:G136" xr:uid="{D7BB956E-DCC3-5E4F-A769-147B2A83D4EA}"/>
  <sortState xmlns:xlrd2="http://schemas.microsoft.com/office/spreadsheetml/2017/richdata2" ref="A2:G136">
    <sortCondition ref="C1:C136"/>
  </sortState>
  <tableColumns count="7">
    <tableColumn id="1" xr3:uid="{1418A4FD-B40A-574C-973E-0D278C86BECD}" name="id_promocion" dataDxfId="49"/>
    <tableColumn id="2" xr3:uid="{5B8C9640-B85F-174D-BA74-787520EF7B58}" name="nombre" dataDxfId="48"/>
    <tableColumn id="3" xr3:uid="{FB3F97C2-3714-BA4F-9E7A-1DEF4ED66C8C}" name="fecha_inicio" dataDxfId="47"/>
    <tableColumn id="19" xr3:uid="{930850BA-237C-4142-9975-659899507856}" name="fecha_fin" dataDxfId="46"/>
    <tableColumn id="21" xr3:uid="{459F7373-5AB0-3245-8E9F-E5061B85EDED}" name="tipo" dataDxfId="45"/>
    <tableColumn id="20" xr3:uid="{9588C4A2-F5C8-3E4F-BCC5-3FC7EBE903D5}" name="descripcion" dataDxfId="44"/>
    <tableColumn id="16" xr3:uid="{E508BA0B-B8E7-7447-A13F-10833E70D5BD}" name="id_centro" dataDxfId="43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7B5EC6-01E1-4540-999E-7F635F199F66}" name="Tabla1346810" displayName="Tabla1346810" ref="A1:H1462" totalsRowShown="0" headerRowDxfId="42" dataDxfId="40" headerRowBorderDxfId="41" tableBorderDxfId="39">
  <autoFilter ref="A1:H1462" xr:uid="{E57B5EC6-01E1-4540-999E-7F635F199F66}"/>
  <tableColumns count="8">
    <tableColumn id="1" xr3:uid="{A3BA041B-E482-D94E-80F8-F2A50AE149DD}" name="id_calendario" dataDxfId="38"/>
    <tableColumn id="2" xr3:uid="{FA17D937-C221-C44A-99DC-C32FA5F44790}" name="fecha" dataDxfId="37"/>
    <tableColumn id="3" xr3:uid="{162D4F93-5672-C54C-ACD8-48A356A2D7BC}" name="centro_abierto" dataDxfId="36"/>
    <tableColumn id="19" xr3:uid="{4DB01D5C-3D01-5C4F-A592-3833CE22FA61}" name="es_festivo" dataDxfId="35"/>
    <tableColumn id="23" xr3:uid="{D77B0D6B-FD66-7049-ADD6-09EBDBE528A2}" name="dia_posterior_festivo" dataDxfId="34"/>
    <tableColumn id="22" xr3:uid="{561075CC-C5F6-6049-A64D-43060223447F}" name="hora_apertura" dataDxfId="33"/>
    <tableColumn id="20" xr3:uid="{9EA98E42-CEB8-C240-9D25-B109FE5595C9}" name="hora_cierre" dataDxfId="32"/>
    <tableColumn id="16" xr3:uid="{06688482-D27E-EC45-9AEB-B9E5D4992CCC}" name="id_centro" dataDxfId="31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E3A57D6-FD60-844E-A0D8-3770F17F136A}" name="Tabla13468914" displayName="Tabla13468914" ref="A1:E23" totalsRowShown="0" headerRowDxfId="30" dataDxfId="28" headerRowBorderDxfId="29" tableBorderDxfId="27">
  <autoFilter ref="A1:E23" xr:uid="{3E3A57D6-FD60-844E-A0D8-3770F17F136A}"/>
  <tableColumns count="5">
    <tableColumn id="1" xr3:uid="{3F694D63-37D2-C444-97F9-EEDE167B4300}" name="id_prediccion" dataDxfId="26"/>
    <tableColumn id="2" xr3:uid="{229C1A0F-67E1-B54A-B9D4-432BC9F91194}" name="fecha" dataDxfId="25"/>
    <tableColumn id="3" xr3:uid="{321D3C89-E1B4-6642-8C0B-BD5EEA50247C}" name="pedidos_previstos" dataDxfId="24"/>
    <tableColumn id="19" xr3:uid="{C756D92D-677E-104C-8E69-E07BE9F2606D}" name="fecha_generacion" dataDxfId="23"/>
    <tableColumn id="21" xr3:uid="{0EAEA40E-0D4A-D743-946A-ED9B5C7EF6FC}" name="id_centro" dataDxfId="22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026BDB-51E8-B644-8019-8DCD898F1B77}" name="Tabla1346891415" displayName="Tabla1346891415" ref="A1:F28" totalsRowShown="0" headerRowDxfId="21" dataDxfId="19" headerRowBorderDxfId="20" tableBorderDxfId="18">
  <autoFilter ref="A1:F28" xr:uid="{67026BDB-51E8-B644-8019-8DCD898F1B77}"/>
  <tableColumns count="6">
    <tableColumn id="1" xr3:uid="{4C0673BF-3666-4040-B180-FD2DA6988B4A}" name="id_planificacion" dataDxfId="17"/>
    <tableColumn id="2" xr3:uid="{4AB05FAB-2527-F14B-BE24-3955EF97D45E}" name="fecha" dataDxfId="16"/>
    <tableColumn id="3" xr3:uid="{1E18A7CC-11D1-6E41-8BF7-F56200C4185D}" name="turno" dataDxfId="15"/>
    <tableColumn id="19" xr3:uid="{BED1F17F-E7B8-364A-8C37-980383D75D97}" name="horas_necesarias" dataDxfId="14"/>
    <tableColumn id="22" xr3:uid="{3D94FE6C-191C-C64F-A7F7-BD5B96316E07}" name="fecha_generacion" dataDxfId="13"/>
    <tableColumn id="21" xr3:uid="{6D3BA071-9230-AE47-A6C4-6177A2564309}" name="id_centro" dataDxfId="1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F1BD-609E-B048-8E2F-15FF8F6F06FD}">
  <dimension ref="A1:D4"/>
  <sheetViews>
    <sheetView workbookViewId="0">
      <selection activeCell="D23" sqref="D23"/>
    </sheetView>
  </sheetViews>
  <sheetFormatPr baseColWidth="10" defaultColWidth="11" defaultRowHeight="15.6"/>
  <cols>
    <col min="1" max="1" width="18.3984375" customWidth="1"/>
    <col min="2" max="2" width="35.3984375" customWidth="1"/>
    <col min="3" max="3" width="34.59765625" customWidth="1"/>
    <col min="4" max="4" width="26.5" customWidth="1"/>
    <col min="5" max="5" width="29.3984375" customWidth="1"/>
    <col min="6" max="6" width="27.5" customWidth="1"/>
    <col min="7" max="7" width="34.09765625" customWidth="1"/>
    <col min="8" max="8" width="32.3984375" customWidth="1"/>
    <col min="9" max="9" width="18" customWidth="1"/>
    <col min="10" max="10" width="16" customWidth="1"/>
  </cols>
  <sheetData>
    <row r="1" spans="1:4" ht="18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1"/>
      <c r="B2" s="4"/>
      <c r="C2" s="4"/>
      <c r="D2" s="4"/>
    </row>
    <row r="3" spans="1:4">
      <c r="A3" s="1"/>
      <c r="B3" s="4"/>
      <c r="C3" s="4"/>
      <c r="D3" s="4"/>
    </row>
    <row r="4" spans="1:4">
      <c r="A4" s="1"/>
      <c r="B4" s="4"/>
      <c r="C4" s="4"/>
      <c r="D4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D94-A35F-934D-AA17-B4544E4B54D0}">
  <dimension ref="A1:G47"/>
  <sheetViews>
    <sheetView zoomScale="75" workbookViewId="0">
      <selection activeCell="D9" sqref="D9"/>
    </sheetView>
  </sheetViews>
  <sheetFormatPr baseColWidth="10" defaultColWidth="11" defaultRowHeight="15.6"/>
  <cols>
    <col min="1" max="1" width="20" customWidth="1"/>
    <col min="2" max="2" width="22.3984375" customWidth="1"/>
    <col min="3" max="3" width="24.5" customWidth="1"/>
    <col min="4" max="4" width="29.09765625" customWidth="1"/>
  </cols>
  <sheetData>
    <row r="1" spans="1:7" ht="18">
      <c r="A1" s="8" t="s">
        <v>4</v>
      </c>
      <c r="B1" s="8" t="s">
        <v>1</v>
      </c>
      <c r="C1" s="8" t="s">
        <v>5</v>
      </c>
      <c r="D1" s="8" t="s">
        <v>6</v>
      </c>
    </row>
    <row r="2" spans="1:7">
      <c r="A2" s="4">
        <v>1</v>
      </c>
      <c r="B2" s="4" t="s">
        <v>7</v>
      </c>
      <c r="C2" s="4"/>
      <c r="D2" s="4">
        <v>6</v>
      </c>
      <c r="E2" s="4"/>
      <c r="F2" s="4"/>
      <c r="G2" s="4"/>
    </row>
    <row r="3" spans="1:7">
      <c r="A3" s="4">
        <v>2</v>
      </c>
      <c r="B3" s="4" t="s">
        <v>8</v>
      </c>
      <c r="C3" s="4"/>
      <c r="D3" s="4">
        <v>6</v>
      </c>
      <c r="E3" s="4"/>
      <c r="F3" s="4"/>
      <c r="G3" s="4"/>
    </row>
    <row r="4" spans="1:7">
      <c r="A4" s="4">
        <v>3</v>
      </c>
      <c r="B4" t="s">
        <v>9</v>
      </c>
      <c r="C4" s="4"/>
      <c r="D4" s="4">
        <v>6</v>
      </c>
      <c r="E4" s="4"/>
      <c r="F4" s="4"/>
      <c r="G4" s="4"/>
    </row>
    <row r="5" spans="1:7">
      <c r="A5" s="4">
        <v>4</v>
      </c>
      <c r="B5" s="4" t="s">
        <v>10</v>
      </c>
      <c r="C5" s="4"/>
      <c r="D5" s="4">
        <v>6</v>
      </c>
      <c r="E5" s="4"/>
      <c r="F5" s="4"/>
      <c r="G5" s="4"/>
    </row>
    <row r="6" spans="1:7">
      <c r="A6" s="4">
        <v>5</v>
      </c>
      <c r="B6" s="4" t="s">
        <v>11</v>
      </c>
      <c r="C6" s="4"/>
      <c r="D6" s="4">
        <v>6</v>
      </c>
      <c r="E6" s="4"/>
      <c r="F6" s="4"/>
      <c r="G6" s="4"/>
    </row>
    <row r="7" spans="1:7">
      <c r="A7" s="4">
        <v>6</v>
      </c>
      <c r="B7" s="4" t="s">
        <v>12</v>
      </c>
      <c r="C7" s="4"/>
      <c r="D7" s="4">
        <v>6</v>
      </c>
      <c r="E7" s="4"/>
      <c r="F7" s="4"/>
      <c r="G7" s="4"/>
    </row>
    <row r="8" spans="1:7">
      <c r="A8" s="4">
        <v>7</v>
      </c>
      <c r="B8" s="4" t="s">
        <v>13</v>
      </c>
      <c r="C8" s="4"/>
      <c r="D8" s="4">
        <v>6</v>
      </c>
      <c r="E8" s="4"/>
      <c r="F8" s="4"/>
      <c r="G8" s="4"/>
    </row>
    <row r="9" spans="1:7">
      <c r="A9" s="1"/>
      <c r="B9" s="4"/>
      <c r="C9" s="4"/>
      <c r="D9" s="4"/>
      <c r="E9" s="4"/>
      <c r="F9" s="4"/>
      <c r="G9" s="4"/>
    </row>
    <row r="10" spans="1:7">
      <c r="A10" s="1"/>
      <c r="B10" s="4"/>
      <c r="C10" s="4"/>
      <c r="D10" s="4"/>
      <c r="E10" s="4"/>
      <c r="F10" s="4"/>
      <c r="G10" s="4"/>
    </row>
    <row r="11" spans="1:7">
      <c r="A11" s="1"/>
      <c r="B11" s="4"/>
      <c r="C11" s="4"/>
      <c r="D11" s="4"/>
      <c r="E11" s="4"/>
      <c r="F11" s="4"/>
      <c r="G11" s="4"/>
    </row>
    <row r="12" spans="1:7">
      <c r="A12" s="1"/>
      <c r="B12" s="4"/>
      <c r="C12" s="4"/>
      <c r="D12" s="4"/>
      <c r="E12" s="4"/>
      <c r="F12" s="4"/>
      <c r="G12" s="4"/>
    </row>
    <row r="13" spans="1:7">
      <c r="A13" s="1"/>
      <c r="B13" s="4"/>
      <c r="C13" s="4"/>
      <c r="D13" s="4"/>
      <c r="E13" s="4"/>
      <c r="F13" s="4"/>
      <c r="G13" s="4"/>
    </row>
    <row r="14" spans="1:7">
      <c r="A14" s="1"/>
      <c r="B14" s="4"/>
      <c r="C14" s="4"/>
      <c r="D14" s="4"/>
      <c r="E14" s="4"/>
      <c r="F14" s="4"/>
      <c r="G14" s="4"/>
    </row>
    <row r="15" spans="1:7">
      <c r="A15" s="1"/>
      <c r="B15" s="4"/>
      <c r="C15" s="4"/>
      <c r="D15" s="4"/>
      <c r="E15" s="4"/>
      <c r="F15" s="4"/>
      <c r="G15" s="4"/>
    </row>
    <row r="16" spans="1:7">
      <c r="A16" s="1"/>
      <c r="B16" s="4"/>
      <c r="C16" s="4"/>
      <c r="D16" s="4"/>
      <c r="E16" s="4"/>
      <c r="F16" s="4"/>
      <c r="G16" s="4"/>
    </row>
    <row r="17" spans="1:7">
      <c r="A17" s="1"/>
      <c r="B17" s="4"/>
      <c r="C17" s="4"/>
      <c r="D17" s="4"/>
      <c r="E17" s="4"/>
      <c r="F17" s="4"/>
      <c r="G17" s="4"/>
    </row>
    <row r="18" spans="1:7">
      <c r="A18" s="1"/>
      <c r="B18" s="4"/>
      <c r="C18" s="4"/>
      <c r="D18" s="4"/>
      <c r="E18" s="4"/>
      <c r="F18" s="4"/>
      <c r="G18" s="4"/>
    </row>
    <row r="19" spans="1:7">
      <c r="A19" s="1"/>
      <c r="B19" s="4"/>
      <c r="C19" s="4"/>
      <c r="D19" s="4"/>
      <c r="E19" s="4"/>
      <c r="F19" s="4"/>
      <c r="G19" s="4"/>
    </row>
    <row r="20" spans="1:7">
      <c r="A20" s="1"/>
      <c r="B20" s="4"/>
      <c r="C20" s="4"/>
      <c r="D20" s="4"/>
      <c r="E20" s="4"/>
      <c r="F20" s="4"/>
      <c r="G20" s="4"/>
    </row>
    <row r="21" spans="1:7">
      <c r="A21" s="1"/>
      <c r="B21" s="4"/>
      <c r="C21" s="4"/>
      <c r="D21" s="4"/>
    </row>
    <row r="22" spans="1:7">
      <c r="A22" s="1"/>
      <c r="B22" s="4"/>
      <c r="C22" s="4"/>
      <c r="D22" s="4"/>
    </row>
    <row r="23" spans="1:7">
      <c r="A23" s="1"/>
      <c r="B23" s="4"/>
      <c r="C23" s="4"/>
      <c r="D23" s="4"/>
    </row>
    <row r="24" spans="1:7">
      <c r="A24" s="1"/>
      <c r="B24" s="4"/>
      <c r="C24" s="4"/>
      <c r="D24" s="4"/>
    </row>
    <row r="25" spans="1:7">
      <c r="A25" s="1"/>
      <c r="B25" s="4"/>
      <c r="C25" s="4"/>
      <c r="D25" s="4"/>
    </row>
    <row r="26" spans="1:7">
      <c r="A26" s="1"/>
      <c r="B26" s="4"/>
      <c r="C26" s="4"/>
      <c r="D26" s="4"/>
    </row>
    <row r="27" spans="1:7">
      <c r="A27" s="1"/>
      <c r="B27" s="4"/>
      <c r="C27" s="4"/>
      <c r="D27" s="4"/>
    </row>
    <row r="28" spans="1:7">
      <c r="A28" s="1"/>
      <c r="B28" s="4"/>
      <c r="C28" s="4"/>
      <c r="D28" s="4"/>
    </row>
    <row r="29" spans="1:7">
      <c r="A29" s="1"/>
      <c r="B29" s="4"/>
      <c r="C29" s="4"/>
      <c r="D29" s="4"/>
    </row>
    <row r="30" spans="1:7">
      <c r="A30" s="1"/>
      <c r="B30" s="4"/>
      <c r="C30" s="4"/>
      <c r="D30" s="4"/>
    </row>
    <row r="31" spans="1:7">
      <c r="A31" s="1"/>
      <c r="B31" s="4"/>
      <c r="C31" s="4"/>
      <c r="D31" s="4"/>
    </row>
    <row r="32" spans="1:7">
      <c r="A32" s="1"/>
      <c r="B32" s="4"/>
      <c r="C32" s="4"/>
      <c r="D32" s="4"/>
    </row>
    <row r="33" spans="1:4">
      <c r="A33" s="1"/>
      <c r="B33" s="4"/>
      <c r="C33" s="4"/>
      <c r="D33" s="4"/>
    </row>
    <row r="34" spans="1:4">
      <c r="A34" s="1"/>
      <c r="B34" s="4"/>
      <c r="C34" s="4"/>
      <c r="D34" s="4"/>
    </row>
    <row r="35" spans="1:4">
      <c r="A35" s="1"/>
      <c r="B35" s="4"/>
      <c r="C35" s="4"/>
      <c r="D35" s="4"/>
    </row>
    <row r="36" spans="1:4">
      <c r="A36" s="1"/>
      <c r="B36" s="4"/>
      <c r="C36" s="4"/>
      <c r="D36" s="4"/>
    </row>
    <row r="37" spans="1:4">
      <c r="A37" s="1"/>
      <c r="B37" s="4"/>
      <c r="C37" s="4"/>
      <c r="D37" s="4"/>
    </row>
    <row r="38" spans="1:4">
      <c r="A38" s="1"/>
      <c r="B38" s="4"/>
      <c r="C38" s="4"/>
      <c r="D38" s="4"/>
    </row>
    <row r="39" spans="1:4">
      <c r="A39" s="1"/>
      <c r="B39" s="4"/>
      <c r="C39" s="4"/>
      <c r="D39" s="4"/>
    </row>
    <row r="40" spans="1:4">
      <c r="A40" s="1"/>
      <c r="B40" s="4"/>
      <c r="C40" s="4"/>
      <c r="D40" s="4"/>
    </row>
    <row r="41" spans="1:4">
      <c r="A41" s="1"/>
      <c r="B41" s="4"/>
      <c r="C41" s="4"/>
      <c r="D41" s="4"/>
    </row>
    <row r="42" spans="1:4">
      <c r="A42" s="1"/>
      <c r="B42" s="4"/>
      <c r="C42" s="4"/>
      <c r="D42" s="4"/>
    </row>
    <row r="43" spans="1:4">
      <c r="A43" s="1"/>
      <c r="B43" s="4"/>
      <c r="C43" s="4"/>
      <c r="D43" s="4"/>
    </row>
    <row r="44" spans="1:4">
      <c r="A44" s="1"/>
      <c r="B44" s="4"/>
      <c r="C44" s="4"/>
      <c r="D44" s="4"/>
    </row>
    <row r="45" spans="1:4">
      <c r="A45" s="1"/>
      <c r="B45" s="4"/>
      <c r="C45" s="4"/>
      <c r="D45" s="4"/>
    </row>
    <row r="46" spans="1:4">
      <c r="A46" s="1"/>
      <c r="B46" s="4"/>
      <c r="C46" s="4"/>
      <c r="D46" s="4"/>
    </row>
    <row r="47" spans="1:4">
      <c r="A47" s="1"/>
      <c r="B47" s="4"/>
      <c r="C47" s="4"/>
      <c r="D47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8EBC4-B43B-E343-9DDE-05C7F51E3945}">
  <dimension ref="A1:K49"/>
  <sheetViews>
    <sheetView topLeftCell="A26" zoomScale="90" zoomScaleNormal="90" workbookViewId="0">
      <selection activeCell="C2" sqref="C2:D49"/>
    </sheetView>
  </sheetViews>
  <sheetFormatPr baseColWidth="10" defaultColWidth="11" defaultRowHeight="15.6"/>
  <cols>
    <col min="1" max="1" width="20" customWidth="1"/>
    <col min="2" max="2" width="25" customWidth="1"/>
    <col min="3" max="4" width="21.8984375" customWidth="1"/>
    <col min="5" max="5" width="42.09765625" customWidth="1"/>
    <col min="6" max="6" width="11.8984375" customWidth="1"/>
    <col min="7" max="7" width="15.09765625" customWidth="1"/>
    <col min="8" max="8" width="14.8984375" customWidth="1"/>
    <col min="9" max="9" width="14" customWidth="1"/>
    <col min="10" max="10" width="19.19921875" style="39" customWidth="1"/>
    <col min="11" max="11" width="17.19921875" customWidth="1"/>
  </cols>
  <sheetData>
    <row r="1" spans="1:11" ht="18">
      <c r="A1" s="8" t="s">
        <v>14</v>
      </c>
      <c r="B1" s="8" t="s">
        <v>15</v>
      </c>
      <c r="C1" s="8" t="s">
        <v>1</v>
      </c>
      <c r="D1" s="8" t="s">
        <v>16</v>
      </c>
      <c r="E1" s="8" t="s">
        <v>17</v>
      </c>
      <c r="F1" s="8" t="s">
        <v>18</v>
      </c>
      <c r="G1" s="8" t="s">
        <v>4</v>
      </c>
      <c r="H1" s="9" t="s">
        <v>0</v>
      </c>
      <c r="I1" s="9" t="s">
        <v>19</v>
      </c>
      <c r="J1" s="40" t="s">
        <v>20</v>
      </c>
      <c r="K1" s="40" t="s">
        <v>21</v>
      </c>
    </row>
    <row r="2" spans="1:11">
      <c r="A2" s="1"/>
      <c r="B2" s="41">
        <v>58116070</v>
      </c>
      <c r="C2" s="4" t="s">
        <v>22</v>
      </c>
      <c r="D2" s="4" t="s">
        <v>23</v>
      </c>
      <c r="E2" s="4" t="s">
        <v>24</v>
      </c>
      <c r="F2" s="4">
        <v>1</v>
      </c>
      <c r="G2" s="4">
        <v>2</v>
      </c>
      <c r="H2" s="4">
        <v>1</v>
      </c>
      <c r="I2" s="7">
        <v>1</v>
      </c>
      <c r="J2" s="38" t="s">
        <v>25</v>
      </c>
      <c r="K2" s="38">
        <v>0</v>
      </c>
    </row>
    <row r="3" spans="1:11">
      <c r="A3" s="1"/>
      <c r="B3" s="41">
        <v>58098914</v>
      </c>
      <c r="C3" s="4" t="s">
        <v>26</v>
      </c>
      <c r="D3" s="4" t="s">
        <v>27</v>
      </c>
      <c r="E3" s="4" t="s">
        <v>28</v>
      </c>
      <c r="F3" s="4">
        <v>1</v>
      </c>
      <c r="G3" s="4">
        <v>2</v>
      </c>
      <c r="H3" s="4">
        <v>1</v>
      </c>
      <c r="I3" s="7">
        <v>1</v>
      </c>
      <c r="J3" s="38" t="s">
        <v>25</v>
      </c>
      <c r="K3" s="38">
        <v>0</v>
      </c>
    </row>
    <row r="4" spans="1:11">
      <c r="A4" s="1"/>
      <c r="B4" s="41">
        <v>65891889</v>
      </c>
      <c r="C4" s="4" t="s">
        <v>29</v>
      </c>
      <c r="D4" s="4" t="s">
        <v>30</v>
      </c>
      <c r="E4" s="4" t="s">
        <v>31</v>
      </c>
      <c r="F4" s="4">
        <v>1</v>
      </c>
      <c r="G4" s="4">
        <v>5</v>
      </c>
      <c r="H4" s="4">
        <v>1</v>
      </c>
      <c r="I4" s="7">
        <v>1</v>
      </c>
      <c r="J4" s="38" t="s">
        <v>25</v>
      </c>
      <c r="K4" s="38">
        <v>0</v>
      </c>
    </row>
    <row r="5" spans="1:11">
      <c r="A5" s="1"/>
      <c r="B5" s="41">
        <v>58060583</v>
      </c>
      <c r="C5" s="4" t="s">
        <v>32</v>
      </c>
      <c r="D5" s="4" t="s">
        <v>33</v>
      </c>
      <c r="E5" s="4" t="s">
        <v>34</v>
      </c>
      <c r="F5" s="4">
        <v>1</v>
      </c>
      <c r="G5" s="4">
        <v>1</v>
      </c>
      <c r="H5" s="4">
        <v>1</v>
      </c>
      <c r="I5" s="7">
        <v>1</v>
      </c>
      <c r="J5" s="38" t="s">
        <v>25</v>
      </c>
      <c r="K5" s="38">
        <v>0</v>
      </c>
    </row>
    <row r="6" spans="1:11">
      <c r="A6" s="1"/>
      <c r="B6" s="41">
        <v>73713778</v>
      </c>
      <c r="C6" s="4" t="s">
        <v>35</v>
      </c>
      <c r="D6" s="4" t="s">
        <v>36</v>
      </c>
      <c r="E6" s="4" t="s">
        <v>37</v>
      </c>
      <c r="F6" s="4">
        <v>1</v>
      </c>
      <c r="G6" s="4">
        <v>2</v>
      </c>
      <c r="H6" s="4">
        <v>1</v>
      </c>
      <c r="I6" s="7">
        <v>1</v>
      </c>
      <c r="J6" s="38" t="s">
        <v>38</v>
      </c>
      <c r="K6" s="38">
        <v>0</v>
      </c>
    </row>
    <row r="7" spans="1:11">
      <c r="A7" s="1"/>
      <c r="B7" s="41">
        <v>57597437</v>
      </c>
      <c r="C7" s="4" t="s">
        <v>39</v>
      </c>
      <c r="D7" s="4" t="s">
        <v>40</v>
      </c>
      <c r="E7" s="4" t="s">
        <v>41</v>
      </c>
      <c r="F7" s="4">
        <v>1</v>
      </c>
      <c r="G7" s="4">
        <v>2</v>
      </c>
      <c r="H7" s="4">
        <v>1</v>
      </c>
      <c r="I7" s="7">
        <v>1</v>
      </c>
      <c r="J7" s="38" t="s">
        <v>42</v>
      </c>
      <c r="K7" s="38">
        <v>0</v>
      </c>
    </row>
    <row r="8" spans="1:11">
      <c r="A8" s="1"/>
      <c r="B8" s="41">
        <v>67212050</v>
      </c>
      <c r="C8" s="4" t="s">
        <v>43</v>
      </c>
      <c r="D8" s="4" t="s">
        <v>44</v>
      </c>
      <c r="E8" s="4" t="s">
        <v>45</v>
      </c>
      <c r="F8" s="4">
        <v>1</v>
      </c>
      <c r="G8" s="4">
        <v>1</v>
      </c>
      <c r="H8" s="4">
        <v>1</v>
      </c>
      <c r="I8" s="7">
        <v>1</v>
      </c>
      <c r="J8" s="38" t="s">
        <v>42</v>
      </c>
      <c r="K8" s="38">
        <v>0</v>
      </c>
    </row>
    <row r="9" spans="1:11">
      <c r="A9" s="1"/>
      <c r="B9" s="49">
        <v>58056227</v>
      </c>
      <c r="C9" s="4" t="s">
        <v>46</v>
      </c>
      <c r="D9" s="4" t="s">
        <v>47</v>
      </c>
      <c r="E9" s="4" t="s">
        <v>48</v>
      </c>
      <c r="F9" s="4">
        <v>1</v>
      </c>
      <c r="G9" s="4">
        <v>1</v>
      </c>
      <c r="H9" s="4">
        <v>1</v>
      </c>
      <c r="I9" s="7">
        <v>0</v>
      </c>
      <c r="J9" s="38" t="s">
        <v>38</v>
      </c>
      <c r="K9" s="38">
        <v>0</v>
      </c>
    </row>
    <row r="10" spans="1:11">
      <c r="A10" s="1"/>
      <c r="B10" s="41">
        <v>67326579</v>
      </c>
      <c r="C10" s="4" t="s">
        <v>49</v>
      </c>
      <c r="D10" s="4" t="s">
        <v>50</v>
      </c>
      <c r="E10" s="4" t="s">
        <v>51</v>
      </c>
      <c r="F10" s="4">
        <v>1</v>
      </c>
      <c r="G10" s="4">
        <v>1</v>
      </c>
      <c r="H10" s="4">
        <v>1</v>
      </c>
      <c r="I10" s="7">
        <v>1</v>
      </c>
      <c r="J10" s="38" t="s">
        <v>38</v>
      </c>
      <c r="K10" s="38">
        <v>0</v>
      </c>
    </row>
    <row r="11" spans="1:11">
      <c r="A11" s="1"/>
      <c r="B11" s="41">
        <v>67953885</v>
      </c>
      <c r="C11" s="4" t="s">
        <v>52</v>
      </c>
      <c r="D11" s="4" t="s">
        <v>53</v>
      </c>
      <c r="E11" s="4" t="s">
        <v>54</v>
      </c>
      <c r="F11" s="4">
        <v>1</v>
      </c>
      <c r="G11" s="4">
        <v>2</v>
      </c>
      <c r="H11" s="4">
        <v>1</v>
      </c>
      <c r="I11" s="7">
        <v>1</v>
      </c>
      <c r="J11" s="38" t="s">
        <v>38</v>
      </c>
      <c r="K11" s="38">
        <v>0</v>
      </c>
    </row>
    <row r="12" spans="1:11">
      <c r="A12" s="1"/>
      <c r="B12" s="41">
        <v>58148131</v>
      </c>
      <c r="C12" s="4" t="s">
        <v>55</v>
      </c>
      <c r="D12" s="4" t="s">
        <v>56</v>
      </c>
      <c r="E12" s="4" t="s">
        <v>57</v>
      </c>
      <c r="F12" s="4">
        <v>1</v>
      </c>
      <c r="G12" s="4">
        <v>2</v>
      </c>
      <c r="H12" s="4">
        <v>1</v>
      </c>
      <c r="I12" s="7">
        <v>1</v>
      </c>
      <c r="J12" s="38" t="s">
        <v>38</v>
      </c>
      <c r="K12" s="38">
        <v>0</v>
      </c>
    </row>
    <row r="13" spans="1:11">
      <c r="A13" s="1"/>
      <c r="B13" s="41">
        <v>73734303</v>
      </c>
      <c r="C13" s="4" t="s">
        <v>58</v>
      </c>
      <c r="D13" s="4" t="s">
        <v>59</v>
      </c>
      <c r="E13" s="4" t="s">
        <v>60</v>
      </c>
      <c r="F13" s="4">
        <v>1</v>
      </c>
      <c r="G13" s="4">
        <v>1</v>
      </c>
      <c r="H13" s="4">
        <v>1</v>
      </c>
      <c r="I13" s="7">
        <v>1</v>
      </c>
      <c r="J13" s="38" t="s">
        <v>38</v>
      </c>
      <c r="K13" s="38">
        <v>0</v>
      </c>
    </row>
    <row r="14" spans="1:11">
      <c r="A14" s="1"/>
      <c r="B14" s="50">
        <v>58161720</v>
      </c>
      <c r="C14" s="4" t="s">
        <v>61</v>
      </c>
      <c r="D14" s="4" t="s">
        <v>62</v>
      </c>
      <c r="E14" s="4" t="s">
        <v>63</v>
      </c>
      <c r="F14" s="4">
        <v>1</v>
      </c>
      <c r="G14" s="4">
        <v>2</v>
      </c>
      <c r="H14" s="4">
        <v>1</v>
      </c>
      <c r="I14" s="7">
        <v>0</v>
      </c>
      <c r="J14" s="38" t="s">
        <v>38</v>
      </c>
      <c r="K14" s="38">
        <v>0</v>
      </c>
    </row>
    <row r="15" spans="1:11">
      <c r="A15" s="1"/>
      <c r="B15" s="41">
        <v>66252495</v>
      </c>
      <c r="C15" s="4" t="s">
        <v>64</v>
      </c>
      <c r="D15" s="4" t="s">
        <v>65</v>
      </c>
      <c r="E15" s="4" t="s">
        <v>66</v>
      </c>
      <c r="F15" s="4">
        <v>1</v>
      </c>
      <c r="G15" s="4">
        <v>1</v>
      </c>
      <c r="H15" s="4">
        <v>1</v>
      </c>
      <c r="I15" s="7">
        <v>1</v>
      </c>
      <c r="J15" s="38" t="s">
        <v>38</v>
      </c>
      <c r="K15" s="38">
        <v>0</v>
      </c>
    </row>
    <row r="16" spans="1:11">
      <c r="A16" s="1"/>
      <c r="B16" s="41">
        <v>57818031</v>
      </c>
      <c r="C16" s="4" t="s">
        <v>67</v>
      </c>
      <c r="D16" s="4" t="s">
        <v>68</v>
      </c>
      <c r="E16" s="4" t="s">
        <v>69</v>
      </c>
      <c r="F16" s="4">
        <v>1</v>
      </c>
      <c r="G16" s="4">
        <v>2</v>
      </c>
      <c r="H16" s="4">
        <v>1</v>
      </c>
      <c r="I16" s="7">
        <v>1</v>
      </c>
      <c r="J16" s="38" t="s">
        <v>38</v>
      </c>
      <c r="K16" s="38">
        <v>0</v>
      </c>
    </row>
    <row r="17" spans="1:11">
      <c r="A17" s="1"/>
      <c r="B17" s="41">
        <v>73530057</v>
      </c>
      <c r="C17" s="4" t="s">
        <v>70</v>
      </c>
      <c r="D17" s="4" t="s">
        <v>71</v>
      </c>
      <c r="E17" s="4" t="s">
        <v>72</v>
      </c>
      <c r="F17" s="4">
        <v>1</v>
      </c>
      <c r="G17" s="4">
        <v>2</v>
      </c>
      <c r="H17" s="4">
        <v>1</v>
      </c>
      <c r="I17" s="7">
        <v>1</v>
      </c>
      <c r="J17" s="38" t="s">
        <v>38</v>
      </c>
      <c r="K17" s="38">
        <v>0</v>
      </c>
    </row>
    <row r="18" spans="1:11">
      <c r="A18" s="1"/>
      <c r="B18" s="41">
        <v>73566374</v>
      </c>
      <c r="C18" s="4" t="s">
        <v>73</v>
      </c>
      <c r="D18" s="4" t="s">
        <v>74</v>
      </c>
      <c r="E18" s="4" t="s">
        <v>75</v>
      </c>
      <c r="F18" s="4">
        <v>1</v>
      </c>
      <c r="G18" s="4">
        <v>2</v>
      </c>
      <c r="H18" s="4">
        <v>1</v>
      </c>
      <c r="I18" s="7">
        <v>1</v>
      </c>
      <c r="J18" s="38" t="s">
        <v>38</v>
      </c>
      <c r="K18" s="38">
        <v>0</v>
      </c>
    </row>
    <row r="19" spans="1:11">
      <c r="A19" s="1"/>
      <c r="B19" s="41">
        <v>58114315</v>
      </c>
      <c r="C19" s="4" t="s">
        <v>76</v>
      </c>
      <c r="D19" s="4" t="s">
        <v>77</v>
      </c>
      <c r="E19" s="4" t="s">
        <v>78</v>
      </c>
      <c r="F19" s="4">
        <v>1</v>
      </c>
      <c r="G19" s="4">
        <v>2</v>
      </c>
      <c r="H19" s="4">
        <v>1</v>
      </c>
      <c r="I19" s="7">
        <v>1</v>
      </c>
      <c r="J19" s="38" t="s">
        <v>38</v>
      </c>
      <c r="K19" s="38">
        <v>0</v>
      </c>
    </row>
    <row r="20" spans="1:11">
      <c r="A20" s="1"/>
      <c r="B20" s="41">
        <v>58157850</v>
      </c>
      <c r="C20" s="4" t="s">
        <v>79</v>
      </c>
      <c r="D20" s="4" t="s">
        <v>80</v>
      </c>
      <c r="E20" s="4" t="s">
        <v>81</v>
      </c>
      <c r="F20" s="4">
        <v>1</v>
      </c>
      <c r="G20" s="4">
        <v>2</v>
      </c>
      <c r="H20" s="4">
        <v>1</v>
      </c>
      <c r="I20" s="7">
        <v>1</v>
      </c>
      <c r="J20" s="38" t="s">
        <v>38</v>
      </c>
      <c r="K20" s="38">
        <v>0</v>
      </c>
    </row>
    <row r="21" spans="1:11">
      <c r="A21" s="1"/>
      <c r="B21" s="41">
        <v>57697625</v>
      </c>
      <c r="C21" s="4" t="s">
        <v>82</v>
      </c>
      <c r="D21" s="4" t="s">
        <v>83</v>
      </c>
      <c r="E21" s="4" t="s">
        <v>84</v>
      </c>
      <c r="F21" s="4">
        <v>1</v>
      </c>
      <c r="G21" s="4">
        <v>2</v>
      </c>
      <c r="H21" s="4">
        <v>1</v>
      </c>
      <c r="I21" s="7">
        <v>1</v>
      </c>
      <c r="J21" s="38" t="s">
        <v>38</v>
      </c>
      <c r="K21" s="38">
        <v>0</v>
      </c>
    </row>
    <row r="22" spans="1:11">
      <c r="A22" s="1"/>
      <c r="B22" s="41">
        <v>58717596</v>
      </c>
      <c r="C22" s="4" t="s">
        <v>85</v>
      </c>
      <c r="D22" s="4" t="s">
        <v>86</v>
      </c>
      <c r="E22" s="4" t="s">
        <v>87</v>
      </c>
      <c r="F22" s="4">
        <v>1</v>
      </c>
      <c r="G22" s="4">
        <v>2</v>
      </c>
      <c r="H22" s="4">
        <v>1</v>
      </c>
      <c r="I22" s="7">
        <v>1</v>
      </c>
      <c r="J22" s="38" t="s">
        <v>38</v>
      </c>
      <c r="K22" s="38">
        <v>0</v>
      </c>
    </row>
    <row r="23" spans="1:11">
      <c r="A23" s="1"/>
      <c r="B23" s="41">
        <v>51966919</v>
      </c>
      <c r="C23" s="4" t="s">
        <v>88</v>
      </c>
      <c r="D23" s="4" t="s">
        <v>89</v>
      </c>
      <c r="E23" s="4" t="s">
        <v>90</v>
      </c>
      <c r="F23" s="4">
        <v>1</v>
      </c>
      <c r="G23" s="4">
        <v>4</v>
      </c>
      <c r="H23" s="4">
        <v>1</v>
      </c>
      <c r="I23" s="7">
        <v>1</v>
      </c>
      <c r="J23" s="38" t="s">
        <v>38</v>
      </c>
      <c r="K23" s="38">
        <v>0</v>
      </c>
    </row>
    <row r="24" spans="1:11">
      <c r="A24" s="1"/>
      <c r="B24" s="41">
        <v>67370882</v>
      </c>
      <c r="C24" s="4" t="s">
        <v>91</v>
      </c>
      <c r="D24" s="4" t="s">
        <v>92</v>
      </c>
      <c r="E24" s="4" t="s">
        <v>93</v>
      </c>
      <c r="F24" s="4">
        <v>1</v>
      </c>
      <c r="G24" s="4">
        <v>4</v>
      </c>
      <c r="H24" s="4">
        <v>1</v>
      </c>
      <c r="I24" s="7">
        <v>1</v>
      </c>
      <c r="J24" s="38" t="s">
        <v>42</v>
      </c>
      <c r="K24" s="38">
        <v>0</v>
      </c>
    </row>
    <row r="25" spans="1:11">
      <c r="A25" s="1"/>
      <c r="B25" s="41">
        <v>57620262</v>
      </c>
      <c r="C25" s="4" t="s">
        <v>94</v>
      </c>
      <c r="D25" s="4" t="s">
        <v>95</v>
      </c>
      <c r="E25" s="4" t="s">
        <v>96</v>
      </c>
      <c r="F25" s="4">
        <v>1</v>
      </c>
      <c r="G25" s="4">
        <v>6</v>
      </c>
      <c r="H25" s="4">
        <v>1</v>
      </c>
      <c r="I25" s="7">
        <v>1</v>
      </c>
      <c r="J25" s="38" t="s">
        <v>38</v>
      </c>
      <c r="K25" s="38">
        <v>0</v>
      </c>
    </row>
    <row r="26" spans="1:11">
      <c r="A26" s="1"/>
      <c r="B26" s="50">
        <v>73596850</v>
      </c>
      <c r="C26" s="4" t="s">
        <v>97</v>
      </c>
      <c r="D26" s="4" t="s">
        <v>98</v>
      </c>
      <c r="E26" s="4" t="s">
        <v>99</v>
      </c>
      <c r="F26" s="4">
        <v>1</v>
      </c>
      <c r="G26" s="4">
        <v>7</v>
      </c>
      <c r="H26" s="4">
        <v>1</v>
      </c>
      <c r="I26" s="7">
        <v>1</v>
      </c>
      <c r="J26" s="38" t="s">
        <v>38</v>
      </c>
      <c r="K26" s="38">
        <v>0</v>
      </c>
    </row>
    <row r="27" spans="1:11">
      <c r="A27" s="1"/>
      <c r="B27" s="41">
        <v>74268483</v>
      </c>
      <c r="C27" s="4" t="s">
        <v>91</v>
      </c>
      <c r="D27" s="4" t="s">
        <v>100</v>
      </c>
      <c r="E27" s="4" t="s">
        <v>101</v>
      </c>
      <c r="F27" s="4">
        <v>1</v>
      </c>
      <c r="G27" s="4">
        <v>7</v>
      </c>
      <c r="H27" s="4">
        <v>1</v>
      </c>
      <c r="I27" s="7">
        <v>1</v>
      </c>
      <c r="J27" s="38" t="s">
        <v>38</v>
      </c>
      <c r="K27" s="38">
        <v>0</v>
      </c>
    </row>
    <row r="28" spans="1:11">
      <c r="A28" s="1"/>
      <c r="B28" s="41">
        <v>73721409</v>
      </c>
      <c r="C28" s="4" t="s">
        <v>102</v>
      </c>
      <c r="D28" s="4" t="s">
        <v>103</v>
      </c>
      <c r="E28" s="4" t="s">
        <v>104</v>
      </c>
      <c r="F28" s="4">
        <v>1</v>
      </c>
      <c r="G28" s="4">
        <v>3</v>
      </c>
      <c r="H28" s="4">
        <v>1</v>
      </c>
      <c r="I28" s="7">
        <v>1</v>
      </c>
      <c r="J28" s="38" t="s">
        <v>38</v>
      </c>
      <c r="K28" s="38">
        <v>1</v>
      </c>
    </row>
    <row r="29" spans="1:11">
      <c r="A29" s="1"/>
      <c r="B29" s="41">
        <v>74360017</v>
      </c>
      <c r="C29" s="4" t="s">
        <v>67</v>
      </c>
      <c r="D29" s="4" t="s">
        <v>105</v>
      </c>
      <c r="E29" s="4" t="s">
        <v>106</v>
      </c>
      <c r="F29" s="4">
        <v>1</v>
      </c>
      <c r="G29" s="4">
        <v>3</v>
      </c>
      <c r="H29" s="4">
        <v>1</v>
      </c>
      <c r="I29" s="7">
        <v>1</v>
      </c>
      <c r="J29" s="38" t="s">
        <v>38</v>
      </c>
      <c r="K29" s="38">
        <v>1</v>
      </c>
    </row>
    <row r="30" spans="1:11">
      <c r="A30" s="1"/>
      <c r="B30" s="41">
        <v>74261496</v>
      </c>
      <c r="C30" s="4" t="s">
        <v>107</v>
      </c>
      <c r="D30" s="4" t="s">
        <v>108</v>
      </c>
      <c r="E30" s="4" t="s">
        <v>109</v>
      </c>
      <c r="F30" s="4">
        <v>1</v>
      </c>
      <c r="G30" s="4">
        <v>3</v>
      </c>
      <c r="H30" s="4">
        <v>1</v>
      </c>
      <c r="I30" s="7">
        <v>1</v>
      </c>
      <c r="J30" s="38" t="s">
        <v>38</v>
      </c>
      <c r="K30" s="38">
        <v>1</v>
      </c>
    </row>
    <row r="31" spans="1:11">
      <c r="A31" s="37"/>
      <c r="B31" s="41">
        <v>74268483</v>
      </c>
      <c r="C31" s="7" t="s">
        <v>91</v>
      </c>
      <c r="D31" s="7" t="s">
        <v>110</v>
      </c>
      <c r="E31" s="7" t="s">
        <v>111</v>
      </c>
      <c r="F31" s="4">
        <v>1</v>
      </c>
      <c r="G31" s="4">
        <v>3</v>
      </c>
      <c r="H31" s="4">
        <v>1</v>
      </c>
      <c r="I31" s="7">
        <v>1</v>
      </c>
      <c r="J31" s="38" t="s">
        <v>38</v>
      </c>
      <c r="K31" s="38">
        <v>1</v>
      </c>
    </row>
    <row r="32" spans="1:11">
      <c r="A32" s="37"/>
      <c r="B32" s="41">
        <v>51982122</v>
      </c>
      <c r="C32" s="7" t="s">
        <v>112</v>
      </c>
      <c r="D32" s="7" t="s">
        <v>113</v>
      </c>
      <c r="E32" s="7" t="s">
        <v>114</v>
      </c>
      <c r="F32" s="4">
        <v>1</v>
      </c>
      <c r="G32" s="4">
        <v>3</v>
      </c>
      <c r="H32" s="4">
        <v>1</v>
      </c>
      <c r="I32" s="7">
        <v>1</v>
      </c>
      <c r="J32" s="38" t="s">
        <v>38</v>
      </c>
      <c r="K32" s="38">
        <v>1</v>
      </c>
    </row>
    <row r="33" spans="1:11">
      <c r="A33" s="37"/>
      <c r="B33" s="41">
        <v>74297045</v>
      </c>
      <c r="C33" s="7" t="s">
        <v>115</v>
      </c>
      <c r="D33" s="7" t="s">
        <v>116</v>
      </c>
      <c r="E33" s="7" t="s">
        <v>117</v>
      </c>
      <c r="F33" s="4">
        <v>1</v>
      </c>
      <c r="G33" s="4">
        <v>3</v>
      </c>
      <c r="H33" s="4">
        <v>1</v>
      </c>
      <c r="I33" s="7">
        <v>1</v>
      </c>
      <c r="J33" s="38" t="s">
        <v>38</v>
      </c>
      <c r="K33" s="38">
        <v>1</v>
      </c>
    </row>
    <row r="34" spans="1:11">
      <c r="A34" s="37"/>
      <c r="B34" s="41">
        <v>51983047</v>
      </c>
      <c r="C34" s="7" t="s">
        <v>118</v>
      </c>
      <c r="D34" s="7" t="s">
        <v>119</v>
      </c>
      <c r="E34" s="7" t="s">
        <v>120</v>
      </c>
      <c r="F34" s="4">
        <v>1</v>
      </c>
      <c r="G34" s="4">
        <v>3</v>
      </c>
      <c r="H34" s="4">
        <v>1</v>
      </c>
      <c r="I34" s="7">
        <v>1</v>
      </c>
      <c r="J34" s="38" t="s">
        <v>38</v>
      </c>
      <c r="K34" s="38">
        <v>1</v>
      </c>
    </row>
    <row r="35" spans="1:11">
      <c r="A35" s="37"/>
      <c r="B35" s="41">
        <v>74270364</v>
      </c>
      <c r="C35" s="7" t="s">
        <v>121</v>
      </c>
      <c r="D35" s="7" t="s">
        <v>122</v>
      </c>
      <c r="E35" s="7" t="s">
        <v>123</v>
      </c>
      <c r="F35" s="4">
        <v>1</v>
      </c>
      <c r="G35" s="4">
        <v>3</v>
      </c>
      <c r="H35" s="4">
        <v>1</v>
      </c>
      <c r="I35" s="7">
        <v>1</v>
      </c>
      <c r="J35" s="38" t="s">
        <v>38</v>
      </c>
      <c r="K35" s="38">
        <v>1</v>
      </c>
    </row>
    <row r="36" spans="1:11">
      <c r="A36" s="37"/>
      <c r="B36" s="41">
        <v>74293820</v>
      </c>
      <c r="C36" s="7" t="s">
        <v>124</v>
      </c>
      <c r="D36" s="7" t="s">
        <v>125</v>
      </c>
      <c r="E36" s="7" t="s">
        <v>126</v>
      </c>
      <c r="F36" s="4">
        <v>1</v>
      </c>
      <c r="G36" s="4">
        <v>3</v>
      </c>
      <c r="H36" s="4">
        <v>1</v>
      </c>
      <c r="I36" s="7">
        <v>1</v>
      </c>
      <c r="J36" s="38" t="s">
        <v>38</v>
      </c>
      <c r="K36" s="38">
        <v>1</v>
      </c>
    </row>
    <row r="37" spans="1:11">
      <c r="A37" s="37"/>
      <c r="B37" s="41">
        <v>51966026</v>
      </c>
      <c r="C37" s="7" t="s">
        <v>127</v>
      </c>
      <c r="D37" s="7" t="s">
        <v>128</v>
      </c>
      <c r="E37" s="7" t="s">
        <v>129</v>
      </c>
      <c r="F37" s="4">
        <v>1</v>
      </c>
      <c r="G37" s="4">
        <v>3</v>
      </c>
      <c r="H37" s="4">
        <v>1</v>
      </c>
      <c r="I37" s="7">
        <v>1</v>
      </c>
      <c r="J37" s="38" t="s">
        <v>38</v>
      </c>
      <c r="K37" s="38">
        <v>1</v>
      </c>
    </row>
    <row r="38" spans="1:11">
      <c r="A38" s="37"/>
      <c r="B38" s="41">
        <v>51983013</v>
      </c>
      <c r="C38" s="7" t="s">
        <v>130</v>
      </c>
      <c r="D38" s="7" t="s">
        <v>131</v>
      </c>
      <c r="E38" s="7" t="s">
        <v>132</v>
      </c>
      <c r="F38" s="4">
        <v>1</v>
      </c>
      <c r="G38" s="4">
        <v>3</v>
      </c>
      <c r="H38" s="4">
        <v>1</v>
      </c>
      <c r="I38" s="7">
        <v>1</v>
      </c>
      <c r="J38" s="38" t="s">
        <v>38</v>
      </c>
      <c r="K38" s="38">
        <v>1</v>
      </c>
    </row>
    <row r="39" spans="1:11">
      <c r="A39" s="37"/>
      <c r="B39" s="41">
        <v>74263971</v>
      </c>
      <c r="C39" s="7" t="s">
        <v>133</v>
      </c>
      <c r="D39" s="7" t="s">
        <v>134</v>
      </c>
      <c r="E39" s="7" t="s">
        <v>135</v>
      </c>
      <c r="F39" s="4">
        <v>1</v>
      </c>
      <c r="G39" s="4">
        <v>3</v>
      </c>
      <c r="H39" s="4">
        <v>1</v>
      </c>
      <c r="I39" s="7">
        <v>1</v>
      </c>
      <c r="J39" s="38" t="s">
        <v>38</v>
      </c>
      <c r="K39" s="38">
        <v>1</v>
      </c>
    </row>
    <row r="40" spans="1:11">
      <c r="A40" s="37"/>
      <c r="B40" s="41">
        <v>74268137</v>
      </c>
      <c r="C40" s="7" t="s">
        <v>136</v>
      </c>
      <c r="D40" s="7" t="s">
        <v>137</v>
      </c>
      <c r="E40" s="7" t="s">
        <v>138</v>
      </c>
      <c r="F40" s="4">
        <v>1</v>
      </c>
      <c r="G40" s="4">
        <v>3</v>
      </c>
      <c r="H40" s="4">
        <v>1</v>
      </c>
      <c r="I40" s="7">
        <v>1</v>
      </c>
      <c r="J40" s="38" t="s">
        <v>38</v>
      </c>
      <c r="K40" s="38">
        <v>1</v>
      </c>
    </row>
    <row r="41" spans="1:11">
      <c r="A41" s="37"/>
      <c r="B41" s="41">
        <v>73580409</v>
      </c>
      <c r="C41" s="7" t="s">
        <v>139</v>
      </c>
      <c r="D41" s="7" t="s">
        <v>140</v>
      </c>
      <c r="E41" s="7" t="s">
        <v>141</v>
      </c>
      <c r="F41" s="4">
        <v>1</v>
      </c>
      <c r="G41" s="4">
        <v>3</v>
      </c>
      <c r="H41" s="4">
        <v>1</v>
      </c>
      <c r="I41" s="7">
        <v>1</v>
      </c>
      <c r="J41" s="38" t="s">
        <v>38</v>
      </c>
      <c r="K41" s="38">
        <v>1</v>
      </c>
    </row>
    <row r="42" spans="1:11">
      <c r="A42" s="37"/>
      <c r="B42" s="50">
        <v>74294695</v>
      </c>
      <c r="C42" s="7" t="s">
        <v>142</v>
      </c>
      <c r="D42" s="7" t="s">
        <v>143</v>
      </c>
      <c r="E42" s="7" t="s">
        <v>144</v>
      </c>
      <c r="F42" s="4">
        <v>1</v>
      </c>
      <c r="G42" s="4">
        <v>3</v>
      </c>
      <c r="H42" s="4">
        <v>1</v>
      </c>
      <c r="I42" s="7">
        <v>1</v>
      </c>
      <c r="J42" s="38" t="s">
        <v>38</v>
      </c>
      <c r="K42" s="38">
        <v>1</v>
      </c>
    </row>
    <row r="43" spans="1:11">
      <c r="A43" s="37"/>
      <c r="B43" s="41">
        <v>58160102</v>
      </c>
      <c r="C43" s="7" t="s">
        <v>145</v>
      </c>
      <c r="D43" s="7" t="s">
        <v>146</v>
      </c>
      <c r="E43" s="7" t="s">
        <v>147</v>
      </c>
      <c r="F43" s="4">
        <v>1</v>
      </c>
      <c r="G43" s="4">
        <v>3</v>
      </c>
      <c r="H43" s="4">
        <v>1</v>
      </c>
      <c r="I43" s="7">
        <v>1</v>
      </c>
      <c r="J43" s="38" t="s">
        <v>25</v>
      </c>
      <c r="K43" s="38">
        <v>1</v>
      </c>
    </row>
    <row r="44" spans="1:11">
      <c r="A44" s="37"/>
      <c r="B44" s="50">
        <v>74294919</v>
      </c>
      <c r="C44" s="7" t="s">
        <v>148</v>
      </c>
      <c r="D44" s="7" t="s">
        <v>149</v>
      </c>
      <c r="E44" s="7" t="s">
        <v>150</v>
      </c>
      <c r="F44" s="4">
        <v>1</v>
      </c>
      <c r="G44" s="4">
        <v>3</v>
      </c>
      <c r="H44" s="4">
        <v>1</v>
      </c>
      <c r="I44" s="7">
        <v>1</v>
      </c>
      <c r="J44" s="38" t="s">
        <v>38</v>
      </c>
      <c r="K44" s="38">
        <v>1</v>
      </c>
    </row>
    <row r="45" spans="1:11">
      <c r="A45" s="37"/>
      <c r="B45" s="50">
        <v>67668103</v>
      </c>
      <c r="C45" s="7" t="s">
        <v>151</v>
      </c>
      <c r="D45" s="7" t="s">
        <v>152</v>
      </c>
      <c r="E45" s="7" t="s">
        <v>153</v>
      </c>
      <c r="F45" s="4">
        <v>1</v>
      </c>
      <c r="G45" s="4">
        <v>3</v>
      </c>
      <c r="H45" s="4">
        <v>1</v>
      </c>
      <c r="I45" s="7">
        <v>1</v>
      </c>
      <c r="J45" s="38" t="s">
        <v>38</v>
      </c>
      <c r="K45" s="38">
        <v>1</v>
      </c>
    </row>
    <row r="46" spans="1:11">
      <c r="A46" s="37"/>
      <c r="B46" s="50">
        <v>74294646</v>
      </c>
      <c r="C46" s="7" t="s">
        <v>142</v>
      </c>
      <c r="D46" s="7" t="s">
        <v>154</v>
      </c>
      <c r="E46" s="7" t="s">
        <v>155</v>
      </c>
      <c r="F46" s="4">
        <v>1</v>
      </c>
      <c r="G46" s="4">
        <v>3</v>
      </c>
      <c r="H46" s="4">
        <v>1</v>
      </c>
      <c r="I46" s="7">
        <v>1</v>
      </c>
      <c r="J46" s="38" t="s">
        <v>38</v>
      </c>
      <c r="K46" s="38">
        <v>1</v>
      </c>
    </row>
    <row r="47" spans="1:11">
      <c r="A47" s="37"/>
      <c r="B47" s="50">
        <v>74297771</v>
      </c>
      <c r="C47" s="7" t="s">
        <v>156</v>
      </c>
      <c r="D47" s="7" t="s">
        <v>157</v>
      </c>
      <c r="E47" s="7" t="s">
        <v>158</v>
      </c>
      <c r="F47" s="4">
        <v>1</v>
      </c>
      <c r="G47" s="4">
        <v>3</v>
      </c>
      <c r="H47" s="4">
        <v>1</v>
      </c>
      <c r="I47" s="7">
        <v>1</v>
      </c>
      <c r="J47" s="38" t="s">
        <v>38</v>
      </c>
      <c r="K47" s="38">
        <v>1</v>
      </c>
    </row>
    <row r="48" spans="1:11">
      <c r="A48" s="37"/>
      <c r="B48" s="50">
        <v>74259045</v>
      </c>
      <c r="C48" s="7" t="s">
        <v>94</v>
      </c>
      <c r="D48" s="7" t="s">
        <v>159</v>
      </c>
      <c r="E48" s="7" t="s">
        <v>160</v>
      </c>
      <c r="F48" s="4">
        <v>1</v>
      </c>
      <c r="G48" s="4">
        <v>3</v>
      </c>
      <c r="H48" s="4">
        <v>1</v>
      </c>
      <c r="I48" s="7">
        <v>1</v>
      </c>
      <c r="J48" s="38" t="s">
        <v>38</v>
      </c>
      <c r="K48" s="38">
        <v>1</v>
      </c>
    </row>
    <row r="49" spans="1:11">
      <c r="A49" s="37"/>
      <c r="B49" s="50">
        <v>74298373</v>
      </c>
      <c r="C49" s="7" t="s">
        <v>161</v>
      </c>
      <c r="D49" s="7" t="s">
        <v>162</v>
      </c>
      <c r="E49" s="7" t="s">
        <v>163</v>
      </c>
      <c r="F49" s="4">
        <v>1</v>
      </c>
      <c r="G49" s="4">
        <v>3</v>
      </c>
      <c r="H49" s="4">
        <v>1</v>
      </c>
      <c r="I49" s="7">
        <v>1</v>
      </c>
      <c r="J49" s="38" t="s">
        <v>38</v>
      </c>
      <c r="K49" s="38">
        <v>1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119BC-5E34-2147-9911-69475B198EE5}">
  <dimension ref="A1:D55"/>
  <sheetViews>
    <sheetView workbookViewId="0">
      <selection activeCell="E12" sqref="E12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  <col min="5" max="5" width="21.8984375" customWidth="1"/>
    <col min="6" max="6" width="17.09765625" customWidth="1"/>
    <col min="7" max="7" width="23.09765625" customWidth="1"/>
    <col min="8" max="8" width="16.8984375" customWidth="1"/>
  </cols>
  <sheetData>
    <row r="1" spans="1:4" ht="18">
      <c r="A1" s="8" t="s">
        <v>164</v>
      </c>
      <c r="B1" s="8" t="s">
        <v>1</v>
      </c>
      <c r="C1" s="8" t="s">
        <v>165</v>
      </c>
      <c r="D1" s="8" t="s">
        <v>166</v>
      </c>
    </row>
    <row r="2" spans="1:4">
      <c r="A2" s="23"/>
      <c r="B2" s="23"/>
      <c r="C2" s="24"/>
      <c r="D2" s="24"/>
    </row>
    <row r="3" spans="1:4">
      <c r="A3" s="23"/>
      <c r="B3" s="23"/>
      <c r="C3" s="24"/>
      <c r="D3" s="24"/>
    </row>
    <row r="4" spans="1:4">
      <c r="A4" s="23"/>
      <c r="B4" s="23"/>
      <c r="C4" s="24"/>
      <c r="D4" s="24"/>
    </row>
    <row r="5" spans="1:4">
      <c r="A5" s="23"/>
      <c r="B5" s="23"/>
      <c r="C5" s="24"/>
      <c r="D5" s="24"/>
    </row>
    <row r="6" spans="1:4">
      <c r="A6" s="23"/>
      <c r="B6" s="23"/>
      <c r="C6" s="24"/>
      <c r="D6" s="24"/>
    </row>
    <row r="7" spans="1:4">
      <c r="A7" s="23"/>
      <c r="B7" s="23"/>
      <c r="C7" s="24"/>
      <c r="D7" s="24"/>
    </row>
    <row r="8" spans="1:4">
      <c r="A8" s="23"/>
      <c r="B8" s="23"/>
      <c r="C8" s="24"/>
      <c r="D8" s="24"/>
    </row>
    <row r="9" spans="1:4">
      <c r="A9" s="23"/>
      <c r="B9" s="23"/>
      <c r="C9" s="24"/>
      <c r="D9" s="24"/>
    </row>
    <row r="10" spans="1:4">
      <c r="A10" s="23"/>
      <c r="B10" s="23"/>
      <c r="C10" s="24"/>
      <c r="D10" s="24"/>
    </row>
    <row r="11" spans="1:4">
      <c r="A11" s="23"/>
      <c r="B11" s="23"/>
      <c r="C11" s="24"/>
      <c r="D11" s="24"/>
    </row>
    <row r="12" spans="1:4">
      <c r="A12" s="23"/>
      <c r="B12" s="23"/>
      <c r="C12" s="24"/>
      <c r="D12" s="24"/>
    </row>
    <row r="13" spans="1:4">
      <c r="A13" s="23"/>
      <c r="B13" s="23"/>
      <c r="C13" s="24"/>
      <c r="D13" s="24"/>
    </row>
    <row r="14" spans="1:4">
      <c r="A14" s="23"/>
      <c r="B14" s="23"/>
      <c r="C14" s="24"/>
      <c r="D14" s="24"/>
    </row>
    <row r="15" spans="1:4">
      <c r="A15" s="23"/>
      <c r="B15" s="23"/>
      <c r="C15" s="24"/>
      <c r="D15" s="24"/>
    </row>
    <row r="16" spans="1:4">
      <c r="A16" s="23"/>
      <c r="B16" s="23"/>
      <c r="C16" s="24"/>
      <c r="D16" s="24"/>
    </row>
    <row r="17" spans="1:4">
      <c r="A17" s="23"/>
      <c r="B17" s="23"/>
      <c r="C17" s="24"/>
      <c r="D17" s="24"/>
    </row>
    <row r="18" spans="1:4">
      <c r="A18" s="23"/>
      <c r="B18" s="23"/>
      <c r="C18" s="24"/>
      <c r="D18" s="24"/>
    </row>
    <row r="19" spans="1:4">
      <c r="A19" s="23"/>
      <c r="B19" s="23"/>
      <c r="C19" s="24"/>
      <c r="D19" s="24"/>
    </row>
    <row r="20" spans="1:4">
      <c r="A20" s="23"/>
      <c r="B20" s="23"/>
      <c r="C20" s="24"/>
      <c r="D20" s="24"/>
    </row>
    <row r="21" spans="1:4">
      <c r="A21" s="23"/>
      <c r="B21" s="23"/>
      <c r="C21" s="24"/>
      <c r="D21" s="24"/>
    </row>
    <row r="22" spans="1:4">
      <c r="A22" s="23"/>
      <c r="B22" s="23"/>
      <c r="C22" s="24"/>
      <c r="D22" s="24"/>
    </row>
    <row r="23" spans="1:4">
      <c r="A23" s="23"/>
      <c r="B23" s="23"/>
      <c r="C23" s="24"/>
      <c r="D23" s="24"/>
    </row>
    <row r="24" spans="1:4">
      <c r="A24" s="23"/>
      <c r="B24" s="23"/>
      <c r="C24" s="24"/>
      <c r="D24" s="24"/>
    </row>
    <row r="25" spans="1:4">
      <c r="A25" s="23"/>
      <c r="B25" s="23"/>
      <c r="C25" s="24"/>
      <c r="D25" s="24"/>
    </row>
    <row r="26" spans="1:4">
      <c r="A26" s="23"/>
      <c r="B26" s="23"/>
      <c r="C26" s="24"/>
      <c r="D26" s="24"/>
    </row>
    <row r="27" spans="1:4">
      <c r="A27" s="23"/>
      <c r="B27" s="23"/>
      <c r="C27" s="24"/>
      <c r="D27" s="24"/>
    </row>
    <row r="28" spans="1:4">
      <c r="A28" s="23"/>
      <c r="B28" s="23"/>
      <c r="C28" s="24"/>
      <c r="D28" s="24"/>
    </row>
    <row r="29" spans="1:4">
      <c r="A29" s="23"/>
      <c r="B29" s="23"/>
      <c r="C29" s="24"/>
      <c r="D29" s="24"/>
    </row>
    <row r="30" spans="1:4">
      <c r="A30" s="23"/>
      <c r="B30" s="23"/>
      <c r="C30" s="24"/>
      <c r="D30" s="24"/>
    </row>
    <row r="31" spans="1:4">
      <c r="A31" s="23"/>
      <c r="B31" s="23"/>
      <c r="C31" s="24"/>
      <c r="D31" s="24"/>
    </row>
    <row r="32" spans="1:4">
      <c r="A32" s="23"/>
      <c r="B32" s="23"/>
      <c r="C32" s="24"/>
      <c r="D32" s="24"/>
    </row>
    <row r="33" spans="1:4">
      <c r="A33" s="23"/>
      <c r="B33" s="23"/>
      <c r="C33" s="24"/>
      <c r="D33" s="24"/>
    </row>
    <row r="34" spans="1:4">
      <c r="A34" s="23"/>
      <c r="B34" s="23"/>
      <c r="C34" s="24"/>
      <c r="D34" s="24"/>
    </row>
    <row r="35" spans="1:4">
      <c r="A35" s="23"/>
      <c r="B35" s="23"/>
      <c r="C35" s="24"/>
      <c r="D35" s="24"/>
    </row>
    <row r="36" spans="1:4">
      <c r="A36" s="23"/>
      <c r="B36" s="23"/>
      <c r="C36" s="24"/>
      <c r="D36" s="24"/>
    </row>
    <row r="37" spans="1:4">
      <c r="A37" s="23"/>
      <c r="B37" s="23"/>
      <c r="C37" s="24"/>
      <c r="D37" s="24"/>
    </row>
    <row r="38" spans="1:4">
      <c r="A38" s="23"/>
      <c r="B38" s="23"/>
      <c r="C38" s="24"/>
      <c r="D38" s="24"/>
    </row>
    <row r="39" spans="1:4">
      <c r="A39" s="23"/>
      <c r="B39" s="23"/>
      <c r="C39" s="24"/>
      <c r="D39" s="24"/>
    </row>
    <row r="40" spans="1:4">
      <c r="A40" s="23"/>
      <c r="B40" s="23"/>
      <c r="C40" s="24"/>
      <c r="D40" s="24"/>
    </row>
    <row r="41" spans="1:4">
      <c r="A41" s="23"/>
      <c r="B41" s="23"/>
      <c r="C41" s="24"/>
      <c r="D41" s="24"/>
    </row>
    <row r="42" spans="1:4">
      <c r="A42" s="23"/>
      <c r="B42" s="23"/>
      <c r="C42" s="24"/>
      <c r="D42" s="24"/>
    </row>
    <row r="43" spans="1:4">
      <c r="A43" s="23"/>
      <c r="B43" s="23"/>
      <c r="C43" s="24"/>
      <c r="D43" s="24"/>
    </row>
    <row r="44" spans="1:4">
      <c r="A44" s="23"/>
      <c r="B44" s="23"/>
      <c r="C44" s="24"/>
      <c r="D44" s="24"/>
    </row>
    <row r="45" spans="1:4">
      <c r="A45" s="23"/>
      <c r="B45" s="23"/>
      <c r="C45" s="24"/>
      <c r="D45" s="24"/>
    </row>
    <row r="46" spans="1:4">
      <c r="A46" s="23"/>
      <c r="B46" s="23"/>
      <c r="C46" s="24"/>
      <c r="D46" s="24"/>
    </row>
    <row r="47" spans="1:4">
      <c r="A47" s="23"/>
      <c r="B47" s="23"/>
      <c r="C47" s="24"/>
      <c r="D47" s="24"/>
    </row>
    <row r="48" spans="1:4">
      <c r="A48" s="23"/>
      <c r="B48" s="23"/>
      <c r="C48" s="24"/>
      <c r="D48" s="24"/>
    </row>
    <row r="49" spans="1:4">
      <c r="A49" s="23"/>
      <c r="B49" s="23"/>
      <c r="C49" s="24"/>
      <c r="D49" s="24"/>
    </row>
    <row r="50" spans="1:4">
      <c r="A50" s="23"/>
      <c r="B50" s="23"/>
      <c r="C50" s="24"/>
      <c r="D50" s="24"/>
    </row>
    <row r="51" spans="1:4">
      <c r="A51" s="23"/>
      <c r="B51" s="23"/>
      <c r="C51" s="24"/>
      <c r="D51" s="24"/>
    </row>
    <row r="52" spans="1:4">
      <c r="A52" s="23"/>
      <c r="B52" s="23"/>
      <c r="C52" s="24"/>
      <c r="D52" s="24"/>
    </row>
    <row r="53" spans="1:4">
      <c r="A53" s="23"/>
      <c r="B53" s="23"/>
      <c r="C53" s="24"/>
      <c r="D53" s="24"/>
    </row>
    <row r="54" spans="1:4">
      <c r="A54" s="23"/>
      <c r="B54" s="23"/>
      <c r="C54" s="24"/>
      <c r="D54" s="24"/>
    </row>
    <row r="55" spans="1:4">
      <c r="A55" s="23"/>
      <c r="B55" s="23"/>
      <c r="C55" s="24"/>
      <c r="D55" s="2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294DB-0B87-104F-BEEF-AE649353FFDD}">
  <dimension ref="A1:B471"/>
  <sheetViews>
    <sheetView workbookViewId="0">
      <selection activeCell="C4" sqref="C4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</cols>
  <sheetData>
    <row r="1" spans="1:2" ht="18">
      <c r="A1" s="8" t="s">
        <v>14</v>
      </c>
      <c r="B1" s="8" t="s">
        <v>164</v>
      </c>
    </row>
    <row r="2" spans="1:2">
      <c r="A2" s="42">
        <v>1</v>
      </c>
      <c r="B2" s="42">
        <v>8</v>
      </c>
    </row>
    <row r="3" spans="1:2">
      <c r="A3" s="42">
        <v>1</v>
      </c>
      <c r="B3" s="42">
        <v>9</v>
      </c>
    </row>
    <row r="4" spans="1:2">
      <c r="A4" s="42">
        <v>1</v>
      </c>
      <c r="B4" s="42">
        <v>10</v>
      </c>
    </row>
    <row r="5" spans="1:2">
      <c r="A5" s="42">
        <v>1</v>
      </c>
      <c r="B5" s="42">
        <v>11</v>
      </c>
    </row>
    <row r="6" spans="1:2">
      <c r="A6" s="42">
        <v>1</v>
      </c>
      <c r="B6" s="42">
        <v>12</v>
      </c>
    </row>
    <row r="7" spans="1:2">
      <c r="A7" s="42">
        <v>1</v>
      </c>
      <c r="B7" s="42">
        <v>13</v>
      </c>
    </row>
    <row r="8" spans="1:2">
      <c r="A8" s="42">
        <v>1</v>
      </c>
      <c r="B8" s="42">
        <v>14</v>
      </c>
    </row>
    <row r="9" spans="1:2">
      <c r="A9" s="42">
        <v>1</v>
      </c>
      <c r="B9" s="42">
        <v>15</v>
      </c>
    </row>
    <row r="10" spans="1:2">
      <c r="A10" s="42">
        <v>1</v>
      </c>
      <c r="B10" s="42">
        <v>16</v>
      </c>
    </row>
    <row r="11" spans="1:2">
      <c r="A11" s="42">
        <v>1</v>
      </c>
      <c r="B11" s="42">
        <v>17</v>
      </c>
    </row>
    <row r="12" spans="1:2">
      <c r="A12" s="42">
        <v>1</v>
      </c>
      <c r="B12" s="42">
        <v>18</v>
      </c>
    </row>
    <row r="13" spans="1:2">
      <c r="A13" s="42">
        <v>1</v>
      </c>
      <c r="B13" s="42">
        <v>19</v>
      </c>
    </row>
    <row r="14" spans="1:2">
      <c r="A14" s="42">
        <v>2</v>
      </c>
      <c r="B14" s="42">
        <v>8</v>
      </c>
    </row>
    <row r="15" spans="1:2">
      <c r="A15" s="42">
        <v>2</v>
      </c>
      <c r="B15" s="42">
        <v>9</v>
      </c>
    </row>
    <row r="16" spans="1:2">
      <c r="A16" s="42">
        <v>2</v>
      </c>
      <c r="B16" s="42">
        <v>10</v>
      </c>
    </row>
    <row r="17" spans="1:2">
      <c r="A17" s="42">
        <v>2</v>
      </c>
      <c r="B17" s="42">
        <v>11</v>
      </c>
    </row>
    <row r="18" spans="1:2">
      <c r="A18" s="42">
        <v>2</v>
      </c>
      <c r="B18" s="42">
        <v>13</v>
      </c>
    </row>
    <row r="19" spans="1:2">
      <c r="A19" s="42">
        <v>2</v>
      </c>
      <c r="B19" s="42">
        <v>14</v>
      </c>
    </row>
    <row r="20" spans="1:2">
      <c r="A20" s="42">
        <v>2</v>
      </c>
      <c r="B20" s="42">
        <v>17</v>
      </c>
    </row>
    <row r="21" spans="1:2">
      <c r="A21" s="42">
        <v>2</v>
      </c>
      <c r="B21" s="42">
        <v>19</v>
      </c>
    </row>
    <row r="22" spans="1:2">
      <c r="A22" s="42">
        <v>3</v>
      </c>
      <c r="B22" s="42">
        <v>1</v>
      </c>
    </row>
    <row r="23" spans="1:2">
      <c r="A23" s="42">
        <v>3</v>
      </c>
      <c r="B23" s="42">
        <v>3</v>
      </c>
    </row>
    <row r="24" spans="1:2">
      <c r="A24" s="42">
        <v>3</v>
      </c>
      <c r="B24" s="42">
        <v>4</v>
      </c>
    </row>
    <row r="25" spans="1:2">
      <c r="A25" s="42">
        <v>3</v>
      </c>
      <c r="B25" s="42">
        <v>5</v>
      </c>
    </row>
    <row r="26" spans="1:2">
      <c r="A26" s="42">
        <v>3</v>
      </c>
      <c r="B26" s="42">
        <v>6</v>
      </c>
    </row>
    <row r="27" spans="1:2">
      <c r="A27" s="42">
        <v>3</v>
      </c>
      <c r="B27" s="42">
        <v>7</v>
      </c>
    </row>
    <row r="28" spans="1:2">
      <c r="A28" s="42">
        <v>3</v>
      </c>
      <c r="B28" s="42">
        <v>8</v>
      </c>
    </row>
    <row r="29" spans="1:2">
      <c r="A29" s="42">
        <v>3</v>
      </c>
      <c r="B29" s="42">
        <v>9</v>
      </c>
    </row>
    <row r="30" spans="1:2">
      <c r="A30" s="42">
        <v>3</v>
      </c>
      <c r="B30" s="42">
        <v>10</v>
      </c>
    </row>
    <row r="31" spans="1:2">
      <c r="A31" s="42">
        <v>3</v>
      </c>
      <c r="B31" s="42">
        <v>13</v>
      </c>
    </row>
    <row r="32" spans="1:2">
      <c r="A32" s="42">
        <v>3</v>
      </c>
      <c r="B32" s="42">
        <v>14</v>
      </c>
    </row>
    <row r="33" spans="1:2">
      <c r="A33" s="42">
        <v>3</v>
      </c>
      <c r="B33" s="42">
        <v>19</v>
      </c>
    </row>
    <row r="34" spans="1:2">
      <c r="A34" s="42">
        <v>4</v>
      </c>
      <c r="B34" s="42">
        <v>3</v>
      </c>
    </row>
    <row r="35" spans="1:2">
      <c r="A35" s="42">
        <v>4</v>
      </c>
      <c r="B35" s="42">
        <v>4</v>
      </c>
    </row>
    <row r="36" spans="1:2">
      <c r="A36" s="42">
        <v>4</v>
      </c>
      <c r="B36" s="42">
        <v>5</v>
      </c>
    </row>
    <row r="37" spans="1:2">
      <c r="A37" s="42">
        <v>4</v>
      </c>
      <c r="B37" s="42">
        <v>6</v>
      </c>
    </row>
    <row r="38" spans="1:2">
      <c r="A38" s="42">
        <v>4</v>
      </c>
      <c r="B38" s="42">
        <v>7</v>
      </c>
    </row>
    <row r="39" spans="1:2">
      <c r="A39" s="42">
        <v>4</v>
      </c>
      <c r="B39" s="42">
        <v>8</v>
      </c>
    </row>
    <row r="40" spans="1:2">
      <c r="A40" s="42">
        <v>4</v>
      </c>
      <c r="B40" s="42">
        <v>9</v>
      </c>
    </row>
    <row r="41" spans="1:2">
      <c r="A41" s="42">
        <v>4</v>
      </c>
      <c r="B41" s="42">
        <v>10</v>
      </c>
    </row>
    <row r="42" spans="1:2">
      <c r="A42" s="42">
        <v>4</v>
      </c>
      <c r="B42" s="42">
        <v>13</v>
      </c>
    </row>
    <row r="43" spans="1:2">
      <c r="A43" s="42">
        <v>4</v>
      </c>
      <c r="B43" s="42">
        <v>14</v>
      </c>
    </row>
    <row r="44" spans="1:2">
      <c r="A44" s="42">
        <v>4</v>
      </c>
      <c r="B44" s="42">
        <v>19</v>
      </c>
    </row>
    <row r="45" spans="1:2">
      <c r="A45" s="42">
        <v>5</v>
      </c>
      <c r="B45" s="42">
        <v>1</v>
      </c>
    </row>
    <row r="46" spans="1:2">
      <c r="A46" s="42">
        <v>5</v>
      </c>
      <c r="B46" s="42">
        <v>2</v>
      </c>
    </row>
    <row r="47" spans="1:2">
      <c r="A47" s="42">
        <v>5</v>
      </c>
      <c r="B47" s="42">
        <v>3</v>
      </c>
    </row>
    <row r="48" spans="1:2">
      <c r="A48" s="42">
        <v>5</v>
      </c>
      <c r="B48" s="42">
        <v>4</v>
      </c>
    </row>
    <row r="49" spans="1:2">
      <c r="A49" s="42">
        <v>5</v>
      </c>
      <c r="B49" s="42">
        <v>5</v>
      </c>
    </row>
    <row r="50" spans="1:2">
      <c r="A50" s="42">
        <v>5</v>
      </c>
      <c r="B50" s="42">
        <v>6</v>
      </c>
    </row>
    <row r="51" spans="1:2">
      <c r="A51" s="42">
        <v>5</v>
      </c>
      <c r="B51" s="42">
        <v>7</v>
      </c>
    </row>
    <row r="52" spans="1:2">
      <c r="A52" s="42">
        <v>5</v>
      </c>
      <c r="B52" s="42">
        <v>8</v>
      </c>
    </row>
    <row r="53" spans="1:2">
      <c r="A53" s="42">
        <v>5</v>
      </c>
      <c r="B53" s="42">
        <v>9</v>
      </c>
    </row>
    <row r="54" spans="1:2">
      <c r="A54" s="42">
        <v>5</v>
      </c>
      <c r="B54" s="42">
        <v>10</v>
      </c>
    </row>
    <row r="55" spans="1:2">
      <c r="A55" s="42">
        <v>5</v>
      </c>
      <c r="B55" s="42">
        <v>11</v>
      </c>
    </row>
    <row r="56" spans="1:2">
      <c r="A56" s="42">
        <v>5</v>
      </c>
      <c r="B56" s="42">
        <v>13</v>
      </c>
    </row>
    <row r="57" spans="1:2">
      <c r="A57" s="42">
        <v>5</v>
      </c>
      <c r="B57" s="42">
        <v>14</v>
      </c>
    </row>
    <row r="58" spans="1:2">
      <c r="A58" s="42">
        <v>5</v>
      </c>
      <c r="B58" s="42">
        <v>15</v>
      </c>
    </row>
    <row r="59" spans="1:2">
      <c r="A59" s="42">
        <v>5</v>
      </c>
      <c r="B59" s="42">
        <v>18</v>
      </c>
    </row>
    <row r="60" spans="1:2">
      <c r="A60" s="42">
        <v>5</v>
      </c>
      <c r="B60" s="42">
        <v>19</v>
      </c>
    </row>
    <row r="61" spans="1:2">
      <c r="A61" s="42">
        <v>6</v>
      </c>
      <c r="B61" s="42">
        <v>2</v>
      </c>
    </row>
    <row r="62" spans="1:2">
      <c r="A62" s="42">
        <v>6</v>
      </c>
      <c r="B62" s="42">
        <v>3</v>
      </c>
    </row>
    <row r="63" spans="1:2">
      <c r="A63" s="42">
        <v>6</v>
      </c>
      <c r="B63" s="42">
        <v>4</v>
      </c>
    </row>
    <row r="64" spans="1:2">
      <c r="A64" s="42">
        <v>6</v>
      </c>
      <c r="B64" s="42">
        <v>5</v>
      </c>
    </row>
    <row r="65" spans="1:2">
      <c r="A65" s="42">
        <v>6</v>
      </c>
      <c r="B65" s="42">
        <v>6</v>
      </c>
    </row>
    <row r="66" spans="1:2">
      <c r="A66" s="42">
        <v>6</v>
      </c>
      <c r="B66" s="42">
        <v>7</v>
      </c>
    </row>
    <row r="67" spans="1:2">
      <c r="A67" s="42">
        <v>6</v>
      </c>
      <c r="B67" s="42">
        <v>8</v>
      </c>
    </row>
    <row r="68" spans="1:2">
      <c r="A68" s="42">
        <v>6</v>
      </c>
      <c r="B68" s="42">
        <v>9</v>
      </c>
    </row>
    <row r="69" spans="1:2">
      <c r="A69" s="42">
        <v>6</v>
      </c>
      <c r="B69" s="42">
        <v>10</v>
      </c>
    </row>
    <row r="70" spans="1:2">
      <c r="A70" s="42">
        <v>6</v>
      </c>
      <c r="B70" s="42">
        <v>11</v>
      </c>
    </row>
    <row r="71" spans="1:2">
      <c r="A71" s="42">
        <v>6</v>
      </c>
      <c r="B71" s="42">
        <v>13</v>
      </c>
    </row>
    <row r="72" spans="1:2">
      <c r="A72" s="42">
        <v>6</v>
      </c>
      <c r="B72" s="42">
        <v>14</v>
      </c>
    </row>
    <row r="73" spans="1:2">
      <c r="A73" s="42">
        <v>6</v>
      </c>
      <c r="B73" s="42">
        <v>15</v>
      </c>
    </row>
    <row r="74" spans="1:2">
      <c r="A74" s="42">
        <v>6</v>
      </c>
      <c r="B74" s="42">
        <v>18</v>
      </c>
    </row>
    <row r="75" spans="1:2">
      <c r="A75" s="42">
        <v>6</v>
      </c>
      <c r="B75" s="42">
        <v>19</v>
      </c>
    </row>
    <row r="76" spans="1:2">
      <c r="A76" s="42">
        <v>7</v>
      </c>
      <c r="B76" s="42">
        <v>1</v>
      </c>
    </row>
    <row r="77" spans="1:2">
      <c r="A77" s="42">
        <v>7</v>
      </c>
      <c r="B77" s="42">
        <v>2</v>
      </c>
    </row>
    <row r="78" spans="1:2">
      <c r="A78" s="42">
        <v>7</v>
      </c>
      <c r="B78" s="42">
        <v>3</v>
      </c>
    </row>
    <row r="79" spans="1:2">
      <c r="A79" s="42">
        <v>7</v>
      </c>
      <c r="B79" s="42">
        <v>4</v>
      </c>
    </row>
    <row r="80" spans="1:2">
      <c r="A80" s="42">
        <v>7</v>
      </c>
      <c r="B80" s="42">
        <v>5</v>
      </c>
    </row>
    <row r="81" spans="1:2">
      <c r="A81" s="42">
        <v>7</v>
      </c>
      <c r="B81" s="42">
        <v>6</v>
      </c>
    </row>
    <row r="82" spans="1:2">
      <c r="A82" s="42">
        <v>7</v>
      </c>
      <c r="B82" s="42">
        <v>7</v>
      </c>
    </row>
    <row r="83" spans="1:2">
      <c r="A83" s="42">
        <v>7</v>
      </c>
      <c r="B83" s="42">
        <v>8</v>
      </c>
    </row>
    <row r="84" spans="1:2">
      <c r="A84" s="42">
        <v>7</v>
      </c>
      <c r="B84" s="42">
        <v>9</v>
      </c>
    </row>
    <row r="85" spans="1:2">
      <c r="A85" s="42">
        <v>7</v>
      </c>
      <c r="B85" s="42">
        <v>10</v>
      </c>
    </row>
    <row r="86" spans="1:2">
      <c r="A86" s="42">
        <v>7</v>
      </c>
      <c r="B86" s="42">
        <v>11</v>
      </c>
    </row>
    <row r="87" spans="1:2">
      <c r="A87" s="42">
        <v>7</v>
      </c>
      <c r="B87" s="42">
        <v>13</v>
      </c>
    </row>
    <row r="88" spans="1:2">
      <c r="A88" s="42">
        <v>7</v>
      </c>
      <c r="B88" s="42">
        <v>14</v>
      </c>
    </row>
    <row r="89" spans="1:2">
      <c r="A89" s="42">
        <v>7</v>
      </c>
      <c r="B89" s="42">
        <v>17</v>
      </c>
    </row>
    <row r="90" spans="1:2">
      <c r="A90" s="42">
        <v>7</v>
      </c>
      <c r="B90" s="42">
        <v>18</v>
      </c>
    </row>
    <row r="91" spans="1:2">
      <c r="A91" s="42">
        <v>7</v>
      </c>
      <c r="B91" s="42">
        <v>19</v>
      </c>
    </row>
    <row r="92" spans="1:2">
      <c r="A92" s="42">
        <v>8</v>
      </c>
      <c r="B92" s="42">
        <v>1</v>
      </c>
    </row>
    <row r="93" spans="1:2">
      <c r="A93" s="42">
        <v>8</v>
      </c>
      <c r="B93" s="42">
        <v>2</v>
      </c>
    </row>
    <row r="94" spans="1:2">
      <c r="A94" s="42">
        <v>8</v>
      </c>
      <c r="B94" s="42">
        <v>3</v>
      </c>
    </row>
    <row r="95" spans="1:2">
      <c r="A95" s="42">
        <v>8</v>
      </c>
      <c r="B95" s="42">
        <v>4</v>
      </c>
    </row>
    <row r="96" spans="1:2">
      <c r="A96" s="42">
        <v>8</v>
      </c>
      <c r="B96" s="42">
        <v>5</v>
      </c>
    </row>
    <row r="97" spans="1:2">
      <c r="A97" s="42">
        <v>8</v>
      </c>
      <c r="B97" s="42">
        <v>6</v>
      </c>
    </row>
    <row r="98" spans="1:2">
      <c r="A98" s="42">
        <v>8</v>
      </c>
      <c r="B98" s="42">
        <v>7</v>
      </c>
    </row>
    <row r="99" spans="1:2">
      <c r="A99" s="42">
        <v>8</v>
      </c>
      <c r="B99" s="42">
        <v>9</v>
      </c>
    </row>
    <row r="100" spans="1:2">
      <c r="A100" s="42">
        <v>8</v>
      </c>
      <c r="B100" s="42">
        <v>10</v>
      </c>
    </row>
    <row r="101" spans="1:2">
      <c r="A101" s="42">
        <v>8</v>
      </c>
      <c r="B101" s="42">
        <v>13</v>
      </c>
    </row>
    <row r="102" spans="1:2">
      <c r="A102" s="42">
        <v>8</v>
      </c>
      <c r="B102" s="42">
        <v>14</v>
      </c>
    </row>
    <row r="103" spans="1:2">
      <c r="A103" s="42">
        <v>8</v>
      </c>
      <c r="B103" s="42">
        <v>18</v>
      </c>
    </row>
    <row r="104" spans="1:2">
      <c r="A104" s="42">
        <v>9</v>
      </c>
      <c r="B104" s="42">
        <v>1</v>
      </c>
    </row>
    <row r="105" spans="1:2">
      <c r="A105" s="42">
        <v>9</v>
      </c>
      <c r="B105" s="42">
        <v>2</v>
      </c>
    </row>
    <row r="106" spans="1:2">
      <c r="A106" s="42">
        <v>9</v>
      </c>
      <c r="B106" s="42">
        <v>3</v>
      </c>
    </row>
    <row r="107" spans="1:2">
      <c r="A107" s="42">
        <v>9</v>
      </c>
      <c r="B107" s="42">
        <v>4</v>
      </c>
    </row>
    <row r="108" spans="1:2">
      <c r="A108" s="42">
        <v>9</v>
      </c>
      <c r="B108" s="42">
        <v>5</v>
      </c>
    </row>
    <row r="109" spans="1:2">
      <c r="A109" s="42">
        <v>9</v>
      </c>
      <c r="B109" s="42">
        <v>6</v>
      </c>
    </row>
    <row r="110" spans="1:2">
      <c r="A110" s="42">
        <v>9</v>
      </c>
      <c r="B110" s="42">
        <v>7</v>
      </c>
    </row>
    <row r="111" spans="1:2">
      <c r="A111" s="42">
        <v>9</v>
      </c>
      <c r="B111" s="42">
        <v>8</v>
      </c>
    </row>
    <row r="112" spans="1:2">
      <c r="A112" s="42">
        <v>9</v>
      </c>
      <c r="B112" s="42">
        <v>9</v>
      </c>
    </row>
    <row r="113" spans="1:2">
      <c r="A113" s="42">
        <v>9</v>
      </c>
      <c r="B113" s="42">
        <v>10</v>
      </c>
    </row>
    <row r="114" spans="1:2">
      <c r="A114" s="42">
        <v>9</v>
      </c>
      <c r="B114" s="42">
        <v>13</v>
      </c>
    </row>
    <row r="115" spans="1:2">
      <c r="A115" s="42">
        <v>9</v>
      </c>
      <c r="B115" s="42">
        <v>14</v>
      </c>
    </row>
    <row r="116" spans="1:2">
      <c r="A116" s="42">
        <v>9</v>
      </c>
      <c r="B116" s="42">
        <v>19</v>
      </c>
    </row>
    <row r="117" spans="1:2">
      <c r="A117" s="42">
        <v>10</v>
      </c>
      <c r="B117" s="42">
        <v>1</v>
      </c>
    </row>
    <row r="118" spans="1:2">
      <c r="A118" s="42">
        <v>10</v>
      </c>
      <c r="B118" s="42">
        <v>2</v>
      </c>
    </row>
    <row r="119" spans="1:2">
      <c r="A119" s="42">
        <v>10</v>
      </c>
      <c r="B119" s="42">
        <v>3</v>
      </c>
    </row>
    <row r="120" spans="1:2">
      <c r="A120" s="42">
        <v>10</v>
      </c>
      <c r="B120" s="42">
        <v>4</v>
      </c>
    </row>
    <row r="121" spans="1:2">
      <c r="A121" s="42">
        <v>10</v>
      </c>
      <c r="B121" s="42">
        <v>5</v>
      </c>
    </row>
    <row r="122" spans="1:2">
      <c r="A122" s="42">
        <v>10</v>
      </c>
      <c r="B122" s="42">
        <v>6</v>
      </c>
    </row>
    <row r="123" spans="1:2">
      <c r="A123" s="42">
        <v>10</v>
      </c>
      <c r="B123" s="42">
        <v>7</v>
      </c>
    </row>
    <row r="124" spans="1:2">
      <c r="A124" s="42">
        <v>10</v>
      </c>
      <c r="B124" s="42">
        <v>8</v>
      </c>
    </row>
    <row r="125" spans="1:2">
      <c r="A125" s="42">
        <v>10</v>
      </c>
      <c r="B125" s="42">
        <v>9</v>
      </c>
    </row>
    <row r="126" spans="1:2">
      <c r="A126" s="42">
        <v>10</v>
      </c>
      <c r="B126" s="42">
        <v>10</v>
      </c>
    </row>
    <row r="127" spans="1:2">
      <c r="A127" s="42">
        <v>10</v>
      </c>
      <c r="B127" s="42">
        <v>13</v>
      </c>
    </row>
    <row r="128" spans="1:2">
      <c r="A128" s="42">
        <v>10</v>
      </c>
      <c r="B128" s="42">
        <v>14</v>
      </c>
    </row>
    <row r="129" spans="1:2">
      <c r="A129" s="42">
        <v>10</v>
      </c>
      <c r="B129" s="42">
        <v>15</v>
      </c>
    </row>
    <row r="130" spans="1:2">
      <c r="A130" s="42">
        <v>10</v>
      </c>
      <c r="B130" s="42">
        <v>18</v>
      </c>
    </row>
    <row r="131" spans="1:2">
      <c r="A131" s="42">
        <v>10</v>
      </c>
      <c r="B131" s="42">
        <v>19</v>
      </c>
    </row>
    <row r="132" spans="1:2">
      <c r="A132" s="42">
        <v>11</v>
      </c>
      <c r="B132" s="42">
        <v>1</v>
      </c>
    </row>
    <row r="133" spans="1:2">
      <c r="A133" s="42">
        <v>11</v>
      </c>
      <c r="B133" s="42">
        <v>2</v>
      </c>
    </row>
    <row r="134" spans="1:2">
      <c r="A134" s="42">
        <v>11</v>
      </c>
      <c r="B134" s="42">
        <v>3</v>
      </c>
    </row>
    <row r="135" spans="1:2">
      <c r="A135" s="42">
        <v>11</v>
      </c>
      <c r="B135" s="42">
        <v>4</v>
      </c>
    </row>
    <row r="136" spans="1:2">
      <c r="A136" s="42">
        <v>11</v>
      </c>
      <c r="B136" s="42">
        <v>5</v>
      </c>
    </row>
    <row r="137" spans="1:2">
      <c r="A137" s="42">
        <v>11</v>
      </c>
      <c r="B137" s="42">
        <v>6</v>
      </c>
    </row>
    <row r="138" spans="1:2">
      <c r="A138" s="42">
        <v>11</v>
      </c>
      <c r="B138" s="42">
        <v>7</v>
      </c>
    </row>
    <row r="139" spans="1:2">
      <c r="A139" s="42">
        <v>11</v>
      </c>
      <c r="B139" s="42">
        <v>8</v>
      </c>
    </row>
    <row r="140" spans="1:2">
      <c r="A140" s="42">
        <v>11</v>
      </c>
      <c r="B140" s="42">
        <v>12</v>
      </c>
    </row>
    <row r="141" spans="1:2">
      <c r="A141" s="42">
        <v>11</v>
      </c>
      <c r="B141" s="42">
        <v>13</v>
      </c>
    </row>
    <row r="142" spans="1:2">
      <c r="A142" s="42">
        <v>11</v>
      </c>
      <c r="B142" s="42">
        <v>14</v>
      </c>
    </row>
    <row r="143" spans="1:2">
      <c r="A143" s="42">
        <v>11</v>
      </c>
      <c r="B143" s="42">
        <v>17</v>
      </c>
    </row>
    <row r="144" spans="1:2">
      <c r="A144" s="42">
        <v>11</v>
      </c>
      <c r="B144" s="42">
        <v>18</v>
      </c>
    </row>
    <row r="145" spans="1:2">
      <c r="A145" s="42">
        <v>11</v>
      </c>
      <c r="B145" s="42">
        <v>19</v>
      </c>
    </row>
    <row r="146" spans="1:2">
      <c r="A146" s="42">
        <v>12</v>
      </c>
      <c r="B146" s="42">
        <v>1</v>
      </c>
    </row>
    <row r="147" spans="1:2">
      <c r="A147" s="42">
        <v>12</v>
      </c>
      <c r="B147" s="42">
        <v>2</v>
      </c>
    </row>
    <row r="148" spans="1:2">
      <c r="A148" s="42">
        <v>12</v>
      </c>
      <c r="B148" s="42">
        <v>3</v>
      </c>
    </row>
    <row r="149" spans="1:2">
      <c r="A149" s="42">
        <v>12</v>
      </c>
      <c r="B149" s="42">
        <v>4</v>
      </c>
    </row>
    <row r="150" spans="1:2">
      <c r="A150" s="42">
        <v>12</v>
      </c>
      <c r="B150" s="42">
        <v>5</v>
      </c>
    </row>
    <row r="151" spans="1:2">
      <c r="A151" s="42">
        <v>12</v>
      </c>
      <c r="B151" s="42">
        <v>6</v>
      </c>
    </row>
    <row r="152" spans="1:2">
      <c r="A152" s="42">
        <v>12</v>
      </c>
      <c r="B152" s="42">
        <v>7</v>
      </c>
    </row>
    <row r="153" spans="1:2">
      <c r="A153" s="42">
        <v>12</v>
      </c>
      <c r="B153" s="42">
        <v>8</v>
      </c>
    </row>
    <row r="154" spans="1:2">
      <c r="A154" s="42">
        <v>12</v>
      </c>
      <c r="B154" s="42">
        <v>9</v>
      </c>
    </row>
    <row r="155" spans="1:2">
      <c r="A155" s="42">
        <v>12</v>
      </c>
      <c r="B155" s="42">
        <v>10</v>
      </c>
    </row>
    <row r="156" spans="1:2">
      <c r="A156" s="42">
        <v>12</v>
      </c>
      <c r="B156" s="42">
        <v>13</v>
      </c>
    </row>
    <row r="157" spans="1:2">
      <c r="A157" s="42">
        <v>12</v>
      </c>
      <c r="B157" s="42">
        <v>14</v>
      </c>
    </row>
    <row r="158" spans="1:2">
      <c r="A158" s="42">
        <v>12</v>
      </c>
      <c r="B158" s="42">
        <v>19</v>
      </c>
    </row>
    <row r="159" spans="1:2">
      <c r="A159" s="42">
        <v>13</v>
      </c>
      <c r="B159" s="42">
        <v>9</v>
      </c>
    </row>
    <row r="160" spans="1:2">
      <c r="A160" s="42">
        <v>13</v>
      </c>
      <c r="B160" s="42">
        <v>19</v>
      </c>
    </row>
    <row r="161" spans="1:2">
      <c r="A161" s="42">
        <v>14</v>
      </c>
      <c r="B161" s="42">
        <v>1</v>
      </c>
    </row>
    <row r="162" spans="1:2">
      <c r="A162" s="42">
        <v>14</v>
      </c>
      <c r="B162" s="42">
        <v>2</v>
      </c>
    </row>
    <row r="163" spans="1:2">
      <c r="A163" s="42">
        <v>14</v>
      </c>
      <c r="B163" s="42">
        <v>3</v>
      </c>
    </row>
    <row r="164" spans="1:2">
      <c r="A164" s="42">
        <v>14</v>
      </c>
      <c r="B164" s="42">
        <v>4</v>
      </c>
    </row>
    <row r="165" spans="1:2">
      <c r="A165" s="42">
        <v>14</v>
      </c>
      <c r="B165" s="42">
        <v>5</v>
      </c>
    </row>
    <row r="166" spans="1:2">
      <c r="A166" s="42">
        <v>14</v>
      </c>
      <c r="B166" s="42">
        <v>6</v>
      </c>
    </row>
    <row r="167" spans="1:2">
      <c r="A167" s="42">
        <v>14</v>
      </c>
      <c r="B167" s="42">
        <v>7</v>
      </c>
    </row>
    <row r="168" spans="1:2">
      <c r="A168" s="42">
        <v>14</v>
      </c>
      <c r="B168" s="42">
        <v>8</v>
      </c>
    </row>
    <row r="169" spans="1:2">
      <c r="A169" s="42">
        <v>14</v>
      </c>
      <c r="B169" s="42">
        <v>9</v>
      </c>
    </row>
    <row r="170" spans="1:2">
      <c r="A170" s="42">
        <v>14</v>
      </c>
      <c r="B170" s="42">
        <v>10</v>
      </c>
    </row>
    <row r="171" spans="1:2">
      <c r="A171" s="42">
        <v>14</v>
      </c>
      <c r="B171" s="42">
        <v>11</v>
      </c>
    </row>
    <row r="172" spans="1:2">
      <c r="A172" s="42">
        <v>14</v>
      </c>
      <c r="B172" s="42">
        <v>12</v>
      </c>
    </row>
    <row r="173" spans="1:2">
      <c r="A173" s="42">
        <v>14</v>
      </c>
      <c r="B173" s="42">
        <v>13</v>
      </c>
    </row>
    <row r="174" spans="1:2">
      <c r="A174" s="42">
        <v>14</v>
      </c>
      <c r="B174" s="42">
        <v>14</v>
      </c>
    </row>
    <row r="175" spans="1:2">
      <c r="A175" s="42">
        <v>14</v>
      </c>
      <c r="B175" s="42">
        <v>15</v>
      </c>
    </row>
    <row r="176" spans="1:2">
      <c r="A176" s="42">
        <v>14</v>
      </c>
      <c r="B176" s="42">
        <v>16</v>
      </c>
    </row>
    <row r="177" spans="1:2">
      <c r="A177" s="42">
        <v>14</v>
      </c>
      <c r="B177" s="42">
        <v>17</v>
      </c>
    </row>
    <row r="178" spans="1:2">
      <c r="A178" s="42">
        <v>14</v>
      </c>
      <c r="B178" s="42">
        <v>18</v>
      </c>
    </row>
    <row r="179" spans="1:2">
      <c r="A179" s="42">
        <v>14</v>
      </c>
      <c r="B179" s="42">
        <v>19</v>
      </c>
    </row>
    <row r="180" spans="1:2">
      <c r="A180" s="42">
        <v>15</v>
      </c>
      <c r="B180" s="42">
        <v>1</v>
      </c>
    </row>
    <row r="181" spans="1:2">
      <c r="A181" s="42">
        <v>15</v>
      </c>
      <c r="B181" s="42">
        <v>2</v>
      </c>
    </row>
    <row r="182" spans="1:2">
      <c r="A182" s="42">
        <v>15</v>
      </c>
      <c r="B182" s="42">
        <v>3</v>
      </c>
    </row>
    <row r="183" spans="1:2">
      <c r="A183" s="42">
        <v>15</v>
      </c>
      <c r="B183" s="42">
        <v>4</v>
      </c>
    </row>
    <row r="184" spans="1:2">
      <c r="A184" s="42">
        <v>15</v>
      </c>
      <c r="B184" s="42">
        <v>5</v>
      </c>
    </row>
    <row r="185" spans="1:2">
      <c r="A185" s="42">
        <v>15</v>
      </c>
      <c r="B185" s="42">
        <v>6</v>
      </c>
    </row>
    <row r="186" spans="1:2">
      <c r="A186" s="42">
        <v>15</v>
      </c>
      <c r="B186" s="42">
        <v>7</v>
      </c>
    </row>
    <row r="187" spans="1:2">
      <c r="A187" s="42">
        <v>15</v>
      </c>
      <c r="B187" s="42">
        <v>8</v>
      </c>
    </row>
    <row r="188" spans="1:2">
      <c r="A188" s="42">
        <v>15</v>
      </c>
      <c r="B188" s="42">
        <v>9</v>
      </c>
    </row>
    <row r="189" spans="1:2">
      <c r="A189" s="42">
        <v>15</v>
      </c>
      <c r="B189" s="42">
        <v>10</v>
      </c>
    </row>
    <row r="190" spans="1:2">
      <c r="A190" s="42">
        <v>15</v>
      </c>
      <c r="B190" s="42">
        <v>13</v>
      </c>
    </row>
    <row r="191" spans="1:2">
      <c r="A191" s="42">
        <v>15</v>
      </c>
      <c r="B191" s="42">
        <v>14</v>
      </c>
    </row>
    <row r="192" spans="1:2">
      <c r="A192" s="42">
        <v>15</v>
      </c>
      <c r="B192" s="42">
        <v>19</v>
      </c>
    </row>
    <row r="193" spans="1:2">
      <c r="A193" s="42">
        <v>16</v>
      </c>
      <c r="B193" s="42">
        <v>1</v>
      </c>
    </row>
    <row r="194" spans="1:2">
      <c r="A194" s="42">
        <v>16</v>
      </c>
      <c r="B194" s="42">
        <v>3</v>
      </c>
    </row>
    <row r="195" spans="1:2">
      <c r="A195" s="42">
        <v>16</v>
      </c>
      <c r="B195" s="42">
        <v>4</v>
      </c>
    </row>
    <row r="196" spans="1:2">
      <c r="A196" s="42">
        <v>16</v>
      </c>
      <c r="B196" s="42">
        <v>5</v>
      </c>
    </row>
    <row r="197" spans="1:2">
      <c r="A197" s="42">
        <v>16</v>
      </c>
      <c r="B197" s="42">
        <v>6</v>
      </c>
    </row>
    <row r="198" spans="1:2">
      <c r="A198" s="42">
        <v>16</v>
      </c>
      <c r="B198" s="42">
        <v>7</v>
      </c>
    </row>
    <row r="199" spans="1:2">
      <c r="A199" s="42">
        <v>16</v>
      </c>
      <c r="B199" s="42">
        <v>9</v>
      </c>
    </row>
    <row r="200" spans="1:2">
      <c r="A200" s="42">
        <v>16</v>
      </c>
      <c r="B200" s="42">
        <v>13</v>
      </c>
    </row>
    <row r="201" spans="1:2">
      <c r="A201" s="42">
        <v>16</v>
      </c>
      <c r="B201" s="42">
        <v>14</v>
      </c>
    </row>
    <row r="202" spans="1:2">
      <c r="A202" s="42">
        <v>16</v>
      </c>
      <c r="B202" s="42">
        <v>19</v>
      </c>
    </row>
    <row r="203" spans="1:2">
      <c r="A203" s="42">
        <v>17</v>
      </c>
      <c r="B203" s="42">
        <v>1</v>
      </c>
    </row>
    <row r="204" spans="1:2">
      <c r="A204" s="42">
        <v>17</v>
      </c>
      <c r="B204" s="42">
        <v>2</v>
      </c>
    </row>
    <row r="205" spans="1:2">
      <c r="A205" s="42">
        <v>17</v>
      </c>
      <c r="B205" s="42">
        <v>3</v>
      </c>
    </row>
    <row r="206" spans="1:2">
      <c r="A206" s="42">
        <v>17</v>
      </c>
      <c r="B206" s="42">
        <v>4</v>
      </c>
    </row>
    <row r="207" spans="1:2">
      <c r="A207" s="42">
        <v>17</v>
      </c>
      <c r="B207" s="42">
        <v>5</v>
      </c>
    </row>
    <row r="208" spans="1:2">
      <c r="A208" s="42">
        <v>17</v>
      </c>
      <c r="B208" s="42">
        <v>6</v>
      </c>
    </row>
    <row r="209" spans="1:2">
      <c r="A209" s="42">
        <v>17</v>
      </c>
      <c r="B209" s="42">
        <v>7</v>
      </c>
    </row>
    <row r="210" spans="1:2">
      <c r="A210" s="42">
        <v>17</v>
      </c>
      <c r="B210" s="42">
        <v>8</v>
      </c>
    </row>
    <row r="211" spans="1:2">
      <c r="A211" s="42">
        <v>17</v>
      </c>
      <c r="B211" s="42">
        <v>9</v>
      </c>
    </row>
    <row r="212" spans="1:2">
      <c r="A212" s="42">
        <v>17</v>
      </c>
      <c r="B212" s="42">
        <v>10</v>
      </c>
    </row>
    <row r="213" spans="1:2">
      <c r="A213" s="42">
        <v>17</v>
      </c>
      <c r="B213" s="42">
        <v>13</v>
      </c>
    </row>
    <row r="214" spans="1:2">
      <c r="A214" s="42">
        <v>17</v>
      </c>
      <c r="B214" s="42">
        <v>14</v>
      </c>
    </row>
    <row r="215" spans="1:2">
      <c r="A215" s="42">
        <v>17</v>
      </c>
      <c r="B215" s="42">
        <v>18</v>
      </c>
    </row>
    <row r="216" spans="1:2">
      <c r="A216" s="42">
        <v>17</v>
      </c>
      <c r="B216" s="42">
        <v>19</v>
      </c>
    </row>
    <row r="217" spans="1:2">
      <c r="A217" s="42">
        <v>18</v>
      </c>
      <c r="B217" s="42">
        <v>3</v>
      </c>
    </row>
    <row r="218" spans="1:2">
      <c r="A218" s="42">
        <v>18</v>
      </c>
      <c r="B218" s="42">
        <v>4</v>
      </c>
    </row>
    <row r="219" spans="1:2">
      <c r="A219" s="42">
        <v>18</v>
      </c>
      <c r="B219" s="42">
        <v>5</v>
      </c>
    </row>
    <row r="220" spans="1:2">
      <c r="A220" s="42">
        <v>18</v>
      </c>
      <c r="B220" s="42">
        <v>6</v>
      </c>
    </row>
    <row r="221" spans="1:2">
      <c r="A221" s="42">
        <v>18</v>
      </c>
      <c r="B221" s="42">
        <v>7</v>
      </c>
    </row>
    <row r="222" spans="1:2">
      <c r="A222" s="42">
        <v>18</v>
      </c>
      <c r="B222" s="42">
        <v>8</v>
      </c>
    </row>
    <row r="223" spans="1:2">
      <c r="A223" s="42">
        <v>18</v>
      </c>
      <c r="B223" s="42">
        <v>9</v>
      </c>
    </row>
    <row r="224" spans="1:2">
      <c r="A224" s="42">
        <v>18</v>
      </c>
      <c r="B224" s="42">
        <v>10</v>
      </c>
    </row>
    <row r="225" spans="1:2">
      <c r="A225" s="42">
        <v>18</v>
      </c>
      <c r="B225" s="42">
        <v>13</v>
      </c>
    </row>
    <row r="226" spans="1:2">
      <c r="A226" s="42">
        <v>18</v>
      </c>
      <c r="B226" s="42">
        <v>14</v>
      </c>
    </row>
    <row r="227" spans="1:2">
      <c r="A227" s="42">
        <v>18</v>
      </c>
      <c r="B227" s="42">
        <v>18</v>
      </c>
    </row>
    <row r="228" spans="1:2">
      <c r="A228" s="42">
        <v>18</v>
      </c>
      <c r="B228" s="42">
        <v>19</v>
      </c>
    </row>
    <row r="229" spans="1:2">
      <c r="A229" s="42">
        <v>19</v>
      </c>
      <c r="B229" s="42">
        <v>3</v>
      </c>
    </row>
    <row r="230" spans="1:2">
      <c r="A230" s="42">
        <v>19</v>
      </c>
      <c r="B230" s="42">
        <v>4</v>
      </c>
    </row>
    <row r="231" spans="1:2">
      <c r="A231" s="42">
        <v>19</v>
      </c>
      <c r="B231" s="42">
        <v>5</v>
      </c>
    </row>
    <row r="232" spans="1:2">
      <c r="A232" s="42">
        <v>19</v>
      </c>
      <c r="B232" s="42">
        <v>6</v>
      </c>
    </row>
    <row r="233" spans="1:2">
      <c r="A233" s="42">
        <v>19</v>
      </c>
      <c r="B233" s="42">
        <v>7</v>
      </c>
    </row>
    <row r="234" spans="1:2">
      <c r="A234" s="42">
        <v>19</v>
      </c>
      <c r="B234" s="42">
        <v>8</v>
      </c>
    </row>
    <row r="235" spans="1:2">
      <c r="A235" s="42">
        <v>19</v>
      </c>
      <c r="B235" s="42">
        <v>9</v>
      </c>
    </row>
    <row r="236" spans="1:2">
      <c r="A236" s="42">
        <v>19</v>
      </c>
      <c r="B236" s="42">
        <v>10</v>
      </c>
    </row>
    <row r="237" spans="1:2">
      <c r="A237" s="42">
        <v>19</v>
      </c>
      <c r="B237" s="42">
        <v>13</v>
      </c>
    </row>
    <row r="238" spans="1:2">
      <c r="A238" s="42">
        <v>19</v>
      </c>
      <c r="B238" s="42">
        <v>14</v>
      </c>
    </row>
    <row r="239" spans="1:2">
      <c r="A239" s="42">
        <v>19</v>
      </c>
      <c r="B239" s="42">
        <v>18</v>
      </c>
    </row>
    <row r="240" spans="1:2">
      <c r="A240" s="42">
        <v>19</v>
      </c>
      <c r="B240" s="42">
        <v>19</v>
      </c>
    </row>
    <row r="241" spans="1:2">
      <c r="A241" s="42">
        <v>20</v>
      </c>
      <c r="B241" s="42">
        <v>1</v>
      </c>
    </row>
    <row r="242" spans="1:2">
      <c r="A242" s="42">
        <v>20</v>
      </c>
      <c r="B242" s="42">
        <v>3</v>
      </c>
    </row>
    <row r="243" spans="1:2">
      <c r="A243" s="42">
        <v>20</v>
      </c>
      <c r="B243" s="42">
        <v>4</v>
      </c>
    </row>
    <row r="244" spans="1:2">
      <c r="A244" s="42">
        <v>20</v>
      </c>
      <c r="B244" s="42">
        <v>5</v>
      </c>
    </row>
    <row r="245" spans="1:2">
      <c r="A245" s="42">
        <v>20</v>
      </c>
      <c r="B245" s="42">
        <v>6</v>
      </c>
    </row>
    <row r="246" spans="1:2">
      <c r="A246" s="42">
        <v>20</v>
      </c>
      <c r="B246" s="42">
        <v>7</v>
      </c>
    </row>
    <row r="247" spans="1:2">
      <c r="A247" s="42">
        <v>20</v>
      </c>
      <c r="B247" s="42">
        <v>9</v>
      </c>
    </row>
    <row r="248" spans="1:2">
      <c r="A248" s="42">
        <v>20</v>
      </c>
      <c r="B248" s="42">
        <v>10</v>
      </c>
    </row>
    <row r="249" spans="1:2">
      <c r="A249" s="42">
        <v>20</v>
      </c>
      <c r="B249" s="42">
        <v>13</v>
      </c>
    </row>
    <row r="250" spans="1:2">
      <c r="A250" s="42">
        <v>20</v>
      </c>
      <c r="B250" s="42">
        <v>14</v>
      </c>
    </row>
    <row r="251" spans="1:2">
      <c r="A251" s="42">
        <v>20</v>
      </c>
      <c r="B251" s="42">
        <v>19</v>
      </c>
    </row>
    <row r="252" spans="1:2">
      <c r="A252" s="42">
        <v>21</v>
      </c>
      <c r="B252" s="42">
        <v>12</v>
      </c>
    </row>
    <row r="253" spans="1:2">
      <c r="A253" s="42">
        <v>21</v>
      </c>
      <c r="B253" s="42">
        <v>13</v>
      </c>
    </row>
    <row r="254" spans="1:2">
      <c r="A254" s="42">
        <v>21</v>
      </c>
      <c r="B254" s="42">
        <v>14</v>
      </c>
    </row>
    <row r="255" spans="1:2">
      <c r="A255" s="42">
        <v>21</v>
      </c>
      <c r="B255" s="42">
        <v>17</v>
      </c>
    </row>
    <row r="256" spans="1:2">
      <c r="A256" s="42">
        <v>21</v>
      </c>
      <c r="B256" s="42">
        <v>18</v>
      </c>
    </row>
    <row r="257" spans="1:2">
      <c r="A257" s="42">
        <v>21</v>
      </c>
      <c r="B257" s="42">
        <v>19</v>
      </c>
    </row>
    <row r="258" spans="1:2">
      <c r="A258" s="42">
        <v>22</v>
      </c>
      <c r="B258" s="42">
        <v>1</v>
      </c>
    </row>
    <row r="259" spans="1:2">
      <c r="A259" s="42">
        <v>22</v>
      </c>
      <c r="B259" s="42">
        <v>3</v>
      </c>
    </row>
    <row r="260" spans="1:2">
      <c r="A260" s="42">
        <v>22</v>
      </c>
      <c r="B260" s="42">
        <v>4</v>
      </c>
    </row>
    <row r="261" spans="1:2">
      <c r="A261" s="42">
        <v>22</v>
      </c>
      <c r="B261" s="42">
        <v>5</v>
      </c>
    </row>
    <row r="262" spans="1:2">
      <c r="A262" s="42">
        <v>22</v>
      </c>
      <c r="B262" s="42">
        <v>6</v>
      </c>
    </row>
    <row r="263" spans="1:2">
      <c r="A263" s="42">
        <v>22</v>
      </c>
      <c r="B263" s="42">
        <v>7</v>
      </c>
    </row>
    <row r="264" spans="1:2">
      <c r="A264" s="42">
        <v>22</v>
      </c>
      <c r="B264" s="42">
        <v>8</v>
      </c>
    </row>
    <row r="265" spans="1:2">
      <c r="A265" s="42">
        <v>22</v>
      </c>
      <c r="B265" s="42">
        <v>9</v>
      </c>
    </row>
    <row r="266" spans="1:2">
      <c r="A266" s="42">
        <v>22</v>
      </c>
      <c r="B266" s="42">
        <v>10</v>
      </c>
    </row>
    <row r="267" spans="1:2">
      <c r="A267" s="42">
        <v>22</v>
      </c>
      <c r="B267" s="42">
        <v>13</v>
      </c>
    </row>
    <row r="268" spans="1:2">
      <c r="A268" s="42">
        <v>22</v>
      </c>
      <c r="B268" s="42">
        <v>14</v>
      </c>
    </row>
    <row r="269" spans="1:2">
      <c r="A269" s="42">
        <v>22</v>
      </c>
      <c r="B269" s="42">
        <v>19</v>
      </c>
    </row>
    <row r="270" spans="1:2">
      <c r="A270" s="42">
        <v>23</v>
      </c>
      <c r="B270" s="42">
        <v>1</v>
      </c>
    </row>
    <row r="271" spans="1:2">
      <c r="A271" s="42">
        <v>23</v>
      </c>
      <c r="B271" s="42">
        <v>2</v>
      </c>
    </row>
    <row r="272" spans="1:2">
      <c r="A272" s="42">
        <v>23</v>
      </c>
      <c r="B272" s="42">
        <v>3</v>
      </c>
    </row>
    <row r="273" spans="1:2">
      <c r="A273" s="42">
        <v>23</v>
      </c>
      <c r="B273" s="42">
        <v>4</v>
      </c>
    </row>
    <row r="274" spans="1:2">
      <c r="A274" s="42">
        <v>23</v>
      </c>
      <c r="B274" s="42">
        <v>5</v>
      </c>
    </row>
    <row r="275" spans="1:2">
      <c r="A275" s="42">
        <v>23</v>
      </c>
      <c r="B275" s="42">
        <v>6</v>
      </c>
    </row>
    <row r="276" spans="1:2">
      <c r="A276" s="42">
        <v>23</v>
      </c>
      <c r="B276" s="42">
        <v>7</v>
      </c>
    </row>
    <row r="277" spans="1:2">
      <c r="A277" s="42">
        <v>23</v>
      </c>
      <c r="B277" s="42">
        <v>8</v>
      </c>
    </row>
    <row r="278" spans="1:2">
      <c r="A278" s="42">
        <v>23</v>
      </c>
      <c r="B278" s="42">
        <v>9</v>
      </c>
    </row>
    <row r="279" spans="1:2">
      <c r="A279" s="42">
        <v>23</v>
      </c>
      <c r="B279" s="42">
        <v>10</v>
      </c>
    </row>
    <row r="280" spans="1:2">
      <c r="A280" s="42">
        <v>23</v>
      </c>
      <c r="B280" s="42">
        <v>13</v>
      </c>
    </row>
    <row r="281" spans="1:2">
      <c r="A281" s="42">
        <v>23</v>
      </c>
      <c r="B281" s="42">
        <v>14</v>
      </c>
    </row>
    <row r="282" spans="1:2">
      <c r="A282" s="42">
        <v>23</v>
      </c>
      <c r="B282" s="42">
        <v>19</v>
      </c>
    </row>
    <row r="283" spans="1:2">
      <c r="A283" s="42">
        <v>24</v>
      </c>
      <c r="B283" s="42">
        <v>1</v>
      </c>
    </row>
    <row r="284" spans="1:2">
      <c r="A284" s="42">
        <v>24</v>
      </c>
      <c r="B284" s="42">
        <v>3</v>
      </c>
    </row>
    <row r="285" spans="1:2">
      <c r="A285" s="42">
        <v>24</v>
      </c>
      <c r="B285" s="42">
        <v>4</v>
      </c>
    </row>
    <row r="286" spans="1:2">
      <c r="A286" s="42">
        <v>24</v>
      </c>
      <c r="B286" s="42">
        <v>5</v>
      </c>
    </row>
    <row r="287" spans="1:2">
      <c r="A287" s="42">
        <v>24</v>
      </c>
      <c r="B287" s="42">
        <v>6</v>
      </c>
    </row>
    <row r="288" spans="1:2">
      <c r="A288" s="42">
        <v>24</v>
      </c>
      <c r="B288" s="42">
        <v>7</v>
      </c>
    </row>
    <row r="289" spans="1:2">
      <c r="A289" s="42">
        <v>24</v>
      </c>
      <c r="B289" s="42">
        <v>8</v>
      </c>
    </row>
    <row r="290" spans="1:2">
      <c r="A290" s="42">
        <v>24</v>
      </c>
      <c r="B290" s="42">
        <v>9</v>
      </c>
    </row>
    <row r="291" spans="1:2">
      <c r="A291" s="42">
        <v>24</v>
      </c>
      <c r="B291" s="42">
        <v>10</v>
      </c>
    </row>
    <row r="292" spans="1:2">
      <c r="A292" s="42">
        <v>24</v>
      </c>
      <c r="B292" s="42">
        <v>13</v>
      </c>
    </row>
    <row r="293" spans="1:2">
      <c r="A293" s="42">
        <v>24</v>
      </c>
      <c r="B293" s="42">
        <v>14</v>
      </c>
    </row>
    <row r="294" spans="1:2">
      <c r="A294" s="42">
        <v>24</v>
      </c>
      <c r="B294" s="42">
        <v>19</v>
      </c>
    </row>
    <row r="295" spans="1:2">
      <c r="A295" s="42">
        <v>25</v>
      </c>
      <c r="B295" s="42">
        <v>3</v>
      </c>
    </row>
    <row r="296" spans="1:2">
      <c r="A296" s="42">
        <v>25</v>
      </c>
      <c r="B296" s="42">
        <v>4</v>
      </c>
    </row>
    <row r="297" spans="1:2">
      <c r="A297" s="42">
        <v>25</v>
      </c>
      <c r="B297" s="42">
        <v>5</v>
      </c>
    </row>
    <row r="298" spans="1:2">
      <c r="A298" s="42">
        <v>25</v>
      </c>
      <c r="B298" s="42">
        <v>6</v>
      </c>
    </row>
    <row r="299" spans="1:2">
      <c r="A299" s="42">
        <v>25</v>
      </c>
      <c r="B299" s="42">
        <v>7</v>
      </c>
    </row>
    <row r="300" spans="1:2">
      <c r="A300" s="42">
        <v>25</v>
      </c>
      <c r="B300" s="42">
        <v>8</v>
      </c>
    </row>
    <row r="301" spans="1:2">
      <c r="A301" s="42">
        <v>25</v>
      </c>
      <c r="B301" s="42">
        <v>10</v>
      </c>
    </row>
    <row r="302" spans="1:2">
      <c r="A302" s="42">
        <v>25</v>
      </c>
      <c r="B302" s="42">
        <v>13</v>
      </c>
    </row>
    <row r="303" spans="1:2">
      <c r="A303" s="42">
        <v>25</v>
      </c>
      <c r="B303" s="42">
        <v>14</v>
      </c>
    </row>
    <row r="304" spans="1:2">
      <c r="A304" s="42">
        <v>25</v>
      </c>
      <c r="B304" s="42">
        <v>19</v>
      </c>
    </row>
    <row r="305" spans="1:2">
      <c r="A305" s="42">
        <v>26</v>
      </c>
      <c r="B305" s="42">
        <v>1</v>
      </c>
    </row>
    <row r="306" spans="1:2">
      <c r="A306" s="42">
        <v>26</v>
      </c>
      <c r="B306" s="42">
        <v>2</v>
      </c>
    </row>
    <row r="307" spans="1:2">
      <c r="A307" s="42">
        <v>26</v>
      </c>
      <c r="B307" s="42">
        <v>3</v>
      </c>
    </row>
    <row r="308" spans="1:2">
      <c r="A308" s="42">
        <v>26</v>
      </c>
      <c r="B308" s="42">
        <v>4</v>
      </c>
    </row>
    <row r="309" spans="1:2">
      <c r="A309" s="42">
        <v>26</v>
      </c>
      <c r="B309" s="42">
        <v>5</v>
      </c>
    </row>
    <row r="310" spans="1:2">
      <c r="A310" s="42">
        <v>26</v>
      </c>
      <c r="B310" s="42">
        <v>6</v>
      </c>
    </row>
    <row r="311" spans="1:2">
      <c r="A311" s="42">
        <v>26</v>
      </c>
      <c r="B311" s="42">
        <v>7</v>
      </c>
    </row>
    <row r="312" spans="1:2">
      <c r="A312" s="42">
        <v>26</v>
      </c>
      <c r="B312" s="42">
        <v>19</v>
      </c>
    </row>
    <row r="313" spans="1:2">
      <c r="A313" s="42">
        <v>27</v>
      </c>
      <c r="B313" s="42">
        <v>1</v>
      </c>
    </row>
    <row r="314" spans="1:2">
      <c r="A314" s="42">
        <v>28</v>
      </c>
      <c r="B314" s="42">
        <v>1</v>
      </c>
    </row>
    <row r="315" spans="1:2">
      <c r="A315" s="42">
        <v>28</v>
      </c>
      <c r="B315" s="42">
        <v>3</v>
      </c>
    </row>
    <row r="316" spans="1:2">
      <c r="A316" s="42">
        <v>28</v>
      </c>
      <c r="B316" s="42">
        <v>4</v>
      </c>
    </row>
    <row r="317" spans="1:2">
      <c r="A317" s="42">
        <v>28</v>
      </c>
      <c r="B317" s="42">
        <v>10</v>
      </c>
    </row>
    <row r="318" spans="1:2">
      <c r="A318" s="42">
        <v>29</v>
      </c>
      <c r="B318" s="42">
        <v>1</v>
      </c>
    </row>
    <row r="319" spans="1:2">
      <c r="A319" s="42">
        <v>29</v>
      </c>
      <c r="B319" s="42">
        <v>2</v>
      </c>
    </row>
    <row r="320" spans="1:2">
      <c r="A320" s="42">
        <v>29</v>
      </c>
      <c r="B320" s="42">
        <v>3</v>
      </c>
    </row>
    <row r="321" spans="1:2">
      <c r="A321" s="42">
        <v>29</v>
      </c>
      <c r="B321" s="42">
        <v>4</v>
      </c>
    </row>
    <row r="322" spans="1:2">
      <c r="A322" s="42">
        <v>29</v>
      </c>
      <c r="B322" s="42">
        <v>5</v>
      </c>
    </row>
    <row r="323" spans="1:2">
      <c r="A323" s="42">
        <v>29</v>
      </c>
      <c r="B323" s="42">
        <v>6</v>
      </c>
    </row>
    <row r="324" spans="1:2">
      <c r="A324" s="42">
        <v>29</v>
      </c>
      <c r="B324" s="42">
        <v>7</v>
      </c>
    </row>
    <row r="325" spans="1:2">
      <c r="A325" s="42">
        <v>29</v>
      </c>
      <c r="B325" s="42">
        <v>10</v>
      </c>
    </row>
    <row r="326" spans="1:2">
      <c r="A326" s="42">
        <v>29</v>
      </c>
      <c r="B326" s="42">
        <v>19</v>
      </c>
    </row>
    <row r="327" spans="1:2">
      <c r="A327" s="42">
        <v>30</v>
      </c>
      <c r="B327" s="42">
        <v>1</v>
      </c>
    </row>
    <row r="328" spans="1:2">
      <c r="A328" s="42">
        <v>30</v>
      </c>
      <c r="B328" s="42">
        <v>2</v>
      </c>
    </row>
    <row r="329" spans="1:2">
      <c r="A329" s="42">
        <v>30</v>
      </c>
      <c r="B329" s="42">
        <v>3</v>
      </c>
    </row>
    <row r="330" spans="1:2">
      <c r="A330" s="42">
        <v>30</v>
      </c>
      <c r="B330" s="42">
        <v>4</v>
      </c>
    </row>
    <row r="331" spans="1:2">
      <c r="A331" s="42">
        <v>30</v>
      </c>
      <c r="B331" s="42">
        <v>5</v>
      </c>
    </row>
    <row r="332" spans="1:2">
      <c r="A332" s="42">
        <v>30</v>
      </c>
      <c r="B332" s="42">
        <v>9</v>
      </c>
    </row>
    <row r="333" spans="1:2">
      <c r="A333" s="42">
        <v>30</v>
      </c>
      <c r="B333" s="42">
        <v>10</v>
      </c>
    </row>
    <row r="334" spans="1:2">
      <c r="A334" s="42">
        <v>31</v>
      </c>
      <c r="B334" s="42">
        <v>4</v>
      </c>
    </row>
    <row r="335" spans="1:2">
      <c r="A335" s="42">
        <v>31</v>
      </c>
      <c r="B335" s="42">
        <v>5</v>
      </c>
    </row>
    <row r="336" spans="1:2">
      <c r="A336" s="42">
        <v>31</v>
      </c>
      <c r="B336" s="42">
        <v>6</v>
      </c>
    </row>
    <row r="337" spans="1:2">
      <c r="A337" s="42">
        <v>31</v>
      </c>
      <c r="B337" s="42">
        <v>7</v>
      </c>
    </row>
    <row r="338" spans="1:2">
      <c r="A338" s="42">
        <v>31</v>
      </c>
      <c r="B338" s="42">
        <v>8</v>
      </c>
    </row>
    <row r="339" spans="1:2">
      <c r="A339" s="42">
        <v>31</v>
      </c>
      <c r="B339" s="42">
        <v>9</v>
      </c>
    </row>
    <row r="340" spans="1:2">
      <c r="A340" s="42">
        <v>31</v>
      </c>
      <c r="B340" s="42">
        <v>10</v>
      </c>
    </row>
    <row r="341" spans="1:2">
      <c r="A341" s="42">
        <v>31</v>
      </c>
      <c r="B341" s="42">
        <v>13</v>
      </c>
    </row>
    <row r="342" spans="1:2">
      <c r="A342" s="42">
        <v>31</v>
      </c>
      <c r="B342" s="42">
        <v>14</v>
      </c>
    </row>
    <row r="343" spans="1:2">
      <c r="A343" s="42">
        <v>31</v>
      </c>
      <c r="B343" s="42">
        <v>19</v>
      </c>
    </row>
    <row r="344" spans="1:2">
      <c r="A344" s="42">
        <v>32</v>
      </c>
      <c r="B344" s="42">
        <v>1</v>
      </c>
    </row>
    <row r="345" spans="1:2">
      <c r="A345" s="42">
        <v>32</v>
      </c>
      <c r="B345" s="42">
        <v>3</v>
      </c>
    </row>
    <row r="346" spans="1:2">
      <c r="A346" s="42">
        <v>32</v>
      </c>
      <c r="B346" s="42">
        <v>4</v>
      </c>
    </row>
    <row r="347" spans="1:2">
      <c r="A347" s="42">
        <v>32</v>
      </c>
      <c r="B347" s="42">
        <v>5</v>
      </c>
    </row>
    <row r="348" spans="1:2">
      <c r="A348" s="42">
        <v>32</v>
      </c>
      <c r="B348" s="42">
        <v>6</v>
      </c>
    </row>
    <row r="349" spans="1:2">
      <c r="A349" s="42">
        <v>32</v>
      </c>
      <c r="B349" s="42">
        <v>7</v>
      </c>
    </row>
    <row r="350" spans="1:2">
      <c r="A350" s="42">
        <v>32</v>
      </c>
      <c r="B350" s="42">
        <v>8</v>
      </c>
    </row>
    <row r="351" spans="1:2">
      <c r="A351" s="42">
        <v>32</v>
      </c>
      <c r="B351" s="42">
        <v>9</v>
      </c>
    </row>
    <row r="352" spans="1:2">
      <c r="A352" s="42">
        <v>32</v>
      </c>
      <c r="B352" s="42">
        <v>10</v>
      </c>
    </row>
    <row r="353" spans="1:2">
      <c r="A353" s="42">
        <v>32</v>
      </c>
      <c r="B353" s="42">
        <v>13</v>
      </c>
    </row>
    <row r="354" spans="1:2">
      <c r="A354" s="42">
        <v>32</v>
      </c>
      <c r="B354" s="42">
        <v>14</v>
      </c>
    </row>
    <row r="355" spans="1:2">
      <c r="A355" s="42">
        <v>32</v>
      </c>
      <c r="B355" s="42">
        <v>19</v>
      </c>
    </row>
    <row r="356" spans="1:2">
      <c r="A356" s="42">
        <v>33</v>
      </c>
      <c r="B356" s="42">
        <v>3</v>
      </c>
    </row>
    <row r="357" spans="1:2">
      <c r="A357" s="42">
        <v>33</v>
      </c>
      <c r="B357" s="42">
        <v>4</v>
      </c>
    </row>
    <row r="358" spans="1:2">
      <c r="A358" s="42">
        <v>33</v>
      </c>
      <c r="B358" s="42">
        <v>5</v>
      </c>
    </row>
    <row r="359" spans="1:2">
      <c r="A359" s="42">
        <v>33</v>
      </c>
      <c r="B359" s="42">
        <v>6</v>
      </c>
    </row>
    <row r="360" spans="1:2">
      <c r="A360" s="42">
        <v>33</v>
      </c>
      <c r="B360" s="42">
        <v>7</v>
      </c>
    </row>
    <row r="361" spans="1:2">
      <c r="A361" s="42">
        <v>33</v>
      </c>
      <c r="B361" s="42">
        <v>8</v>
      </c>
    </row>
    <row r="362" spans="1:2">
      <c r="A362" s="42">
        <v>33</v>
      </c>
      <c r="B362" s="42">
        <v>10</v>
      </c>
    </row>
    <row r="363" spans="1:2">
      <c r="A363" s="42">
        <v>33</v>
      </c>
      <c r="B363" s="42">
        <v>13</v>
      </c>
    </row>
    <row r="364" spans="1:2">
      <c r="A364" s="42">
        <v>33</v>
      </c>
      <c r="B364" s="42">
        <v>14</v>
      </c>
    </row>
    <row r="365" spans="1:2">
      <c r="A365" s="42">
        <v>33</v>
      </c>
      <c r="B365" s="42">
        <v>19</v>
      </c>
    </row>
    <row r="366" spans="1:2">
      <c r="A366" s="42">
        <v>34</v>
      </c>
      <c r="B366" s="42">
        <v>3</v>
      </c>
    </row>
    <row r="367" spans="1:2">
      <c r="A367" s="42">
        <v>34</v>
      </c>
      <c r="B367" s="42">
        <v>4</v>
      </c>
    </row>
    <row r="368" spans="1:2">
      <c r="A368" s="42">
        <v>34</v>
      </c>
      <c r="B368" s="42">
        <v>5</v>
      </c>
    </row>
    <row r="369" spans="1:2">
      <c r="A369" s="42">
        <v>34</v>
      </c>
      <c r="B369" s="42">
        <v>6</v>
      </c>
    </row>
    <row r="370" spans="1:2">
      <c r="A370" s="42">
        <v>34</v>
      </c>
      <c r="B370" s="42">
        <v>7</v>
      </c>
    </row>
    <row r="371" spans="1:2">
      <c r="A371" s="42">
        <v>34</v>
      </c>
      <c r="B371" s="42">
        <v>8</v>
      </c>
    </row>
    <row r="372" spans="1:2">
      <c r="A372" s="42">
        <v>34</v>
      </c>
      <c r="B372" s="42">
        <v>9</v>
      </c>
    </row>
    <row r="373" spans="1:2">
      <c r="A373" s="42">
        <v>34</v>
      </c>
      <c r="B373" s="42">
        <v>10</v>
      </c>
    </row>
    <row r="374" spans="1:2">
      <c r="A374" s="42">
        <v>34</v>
      </c>
      <c r="B374" s="42">
        <v>13</v>
      </c>
    </row>
    <row r="375" spans="1:2">
      <c r="A375" s="42">
        <v>34</v>
      </c>
      <c r="B375" s="42">
        <v>14</v>
      </c>
    </row>
    <row r="376" spans="1:2">
      <c r="A376" s="42">
        <v>34</v>
      </c>
      <c r="B376" s="42">
        <v>19</v>
      </c>
    </row>
    <row r="377" spans="1:2">
      <c r="A377" s="42">
        <v>35</v>
      </c>
      <c r="B377" s="42">
        <v>3</v>
      </c>
    </row>
    <row r="378" spans="1:2">
      <c r="A378" s="42">
        <v>35</v>
      </c>
      <c r="B378" s="42">
        <v>4</v>
      </c>
    </row>
    <row r="379" spans="1:2">
      <c r="A379" s="42">
        <v>35</v>
      </c>
      <c r="B379" s="42">
        <v>5</v>
      </c>
    </row>
    <row r="380" spans="1:2">
      <c r="A380" s="42">
        <v>35</v>
      </c>
      <c r="B380" s="42">
        <v>6</v>
      </c>
    </row>
    <row r="381" spans="1:2">
      <c r="A381" s="42">
        <v>35</v>
      </c>
      <c r="B381" s="42">
        <v>7</v>
      </c>
    </row>
    <row r="382" spans="1:2">
      <c r="A382" s="42">
        <v>35</v>
      </c>
      <c r="B382" s="42">
        <v>8</v>
      </c>
    </row>
    <row r="383" spans="1:2">
      <c r="A383" s="42">
        <v>35</v>
      </c>
      <c r="B383" s="42">
        <v>10</v>
      </c>
    </row>
    <row r="384" spans="1:2">
      <c r="A384" s="42">
        <v>35</v>
      </c>
      <c r="B384" s="42">
        <v>13</v>
      </c>
    </row>
    <row r="385" spans="1:2">
      <c r="A385" s="42">
        <v>35</v>
      </c>
      <c r="B385" s="42">
        <v>14</v>
      </c>
    </row>
    <row r="386" spans="1:2">
      <c r="A386" s="42">
        <v>35</v>
      </c>
      <c r="B386" s="42">
        <v>19</v>
      </c>
    </row>
    <row r="387" spans="1:2">
      <c r="A387" s="42">
        <v>36</v>
      </c>
      <c r="B387" s="42">
        <v>1</v>
      </c>
    </row>
    <row r="388" spans="1:2">
      <c r="A388" s="42">
        <v>36</v>
      </c>
      <c r="B388" s="42">
        <v>3</v>
      </c>
    </row>
    <row r="389" spans="1:2">
      <c r="A389" s="42">
        <v>36</v>
      </c>
      <c r="B389" s="42">
        <v>4</v>
      </c>
    </row>
    <row r="390" spans="1:2">
      <c r="A390" s="42">
        <v>36</v>
      </c>
      <c r="B390" s="42">
        <v>5</v>
      </c>
    </row>
    <row r="391" spans="1:2">
      <c r="A391" s="42">
        <v>36</v>
      </c>
      <c r="B391" s="42">
        <v>6</v>
      </c>
    </row>
    <row r="392" spans="1:2">
      <c r="A392" s="42">
        <v>36</v>
      </c>
      <c r="B392" s="42">
        <v>7</v>
      </c>
    </row>
    <row r="393" spans="1:2">
      <c r="A393" s="42">
        <v>36</v>
      </c>
      <c r="B393" s="42">
        <v>9</v>
      </c>
    </row>
    <row r="394" spans="1:2">
      <c r="A394" s="42">
        <v>36</v>
      </c>
      <c r="B394" s="42">
        <v>10</v>
      </c>
    </row>
    <row r="395" spans="1:2">
      <c r="A395" s="42">
        <v>36</v>
      </c>
      <c r="B395" s="42">
        <v>13</v>
      </c>
    </row>
    <row r="396" spans="1:2">
      <c r="A396" s="42">
        <v>36</v>
      </c>
      <c r="B396" s="42">
        <v>14</v>
      </c>
    </row>
    <row r="397" spans="1:2">
      <c r="A397" s="42">
        <v>36</v>
      </c>
      <c r="B397" s="42">
        <v>19</v>
      </c>
    </row>
    <row r="398" spans="1:2">
      <c r="A398" s="42">
        <v>37</v>
      </c>
      <c r="B398" s="42">
        <v>1</v>
      </c>
    </row>
    <row r="399" spans="1:2">
      <c r="A399" s="42">
        <v>37</v>
      </c>
      <c r="B399" s="42">
        <v>3</v>
      </c>
    </row>
    <row r="400" spans="1:2">
      <c r="A400" s="42">
        <v>37</v>
      </c>
      <c r="B400" s="42">
        <v>4</v>
      </c>
    </row>
    <row r="401" spans="1:2">
      <c r="A401" s="42">
        <v>37</v>
      </c>
      <c r="B401" s="42">
        <v>5</v>
      </c>
    </row>
    <row r="402" spans="1:2">
      <c r="A402" s="42">
        <v>37</v>
      </c>
      <c r="B402" s="42">
        <v>6</v>
      </c>
    </row>
    <row r="403" spans="1:2">
      <c r="A403" s="42">
        <v>37</v>
      </c>
      <c r="B403" s="42">
        <v>7</v>
      </c>
    </row>
    <row r="404" spans="1:2">
      <c r="A404" s="42">
        <v>37</v>
      </c>
      <c r="B404" s="42">
        <v>9</v>
      </c>
    </row>
    <row r="405" spans="1:2">
      <c r="A405" s="42">
        <v>37</v>
      </c>
      <c r="B405" s="42">
        <v>10</v>
      </c>
    </row>
    <row r="406" spans="1:2">
      <c r="A406" s="42">
        <v>37</v>
      </c>
      <c r="B406" s="42">
        <v>13</v>
      </c>
    </row>
    <row r="407" spans="1:2">
      <c r="A407" s="42">
        <v>37</v>
      </c>
      <c r="B407" s="42">
        <v>14</v>
      </c>
    </row>
    <row r="408" spans="1:2">
      <c r="A408" s="42">
        <v>37</v>
      </c>
      <c r="B408" s="42">
        <v>19</v>
      </c>
    </row>
    <row r="409" spans="1:2">
      <c r="A409" s="42">
        <v>38</v>
      </c>
      <c r="B409" s="42">
        <v>1</v>
      </c>
    </row>
    <row r="410" spans="1:2">
      <c r="A410" s="42">
        <v>38</v>
      </c>
      <c r="B410" s="42">
        <v>3</v>
      </c>
    </row>
    <row r="411" spans="1:2">
      <c r="A411" s="42">
        <v>38</v>
      </c>
      <c r="B411" s="42">
        <v>4</v>
      </c>
    </row>
    <row r="412" spans="1:2">
      <c r="A412" s="42">
        <v>38</v>
      </c>
      <c r="B412" s="42">
        <v>5</v>
      </c>
    </row>
    <row r="413" spans="1:2">
      <c r="A413" s="42">
        <v>38</v>
      </c>
      <c r="B413" s="42">
        <v>6</v>
      </c>
    </row>
    <row r="414" spans="1:2">
      <c r="A414" s="42">
        <v>38</v>
      </c>
      <c r="B414" s="42">
        <v>7</v>
      </c>
    </row>
    <row r="415" spans="1:2">
      <c r="A415" s="42">
        <v>38</v>
      </c>
      <c r="B415" s="42">
        <v>9</v>
      </c>
    </row>
    <row r="416" spans="1:2">
      <c r="A416" s="42">
        <v>38</v>
      </c>
      <c r="B416" s="42">
        <v>13</v>
      </c>
    </row>
    <row r="417" spans="1:2">
      <c r="A417" s="42">
        <v>38</v>
      </c>
      <c r="B417" s="42">
        <v>14</v>
      </c>
    </row>
    <row r="418" spans="1:2">
      <c r="A418" s="42">
        <v>38</v>
      </c>
      <c r="B418" s="42">
        <v>19</v>
      </c>
    </row>
    <row r="419" spans="1:2">
      <c r="A419" s="42">
        <v>39</v>
      </c>
      <c r="B419" s="42">
        <v>3</v>
      </c>
    </row>
    <row r="420" spans="1:2">
      <c r="A420" s="42">
        <v>39</v>
      </c>
      <c r="B420" s="42">
        <v>4</v>
      </c>
    </row>
    <row r="421" spans="1:2">
      <c r="A421" s="42">
        <v>39</v>
      </c>
      <c r="B421" s="42">
        <v>5</v>
      </c>
    </row>
    <row r="422" spans="1:2">
      <c r="A422" s="42">
        <v>39</v>
      </c>
      <c r="B422" s="42">
        <v>6</v>
      </c>
    </row>
    <row r="423" spans="1:2">
      <c r="A423" s="42">
        <v>39</v>
      </c>
      <c r="B423" s="42">
        <v>7</v>
      </c>
    </row>
    <row r="424" spans="1:2">
      <c r="A424" s="42">
        <v>39</v>
      </c>
      <c r="B424" s="42">
        <v>8</v>
      </c>
    </row>
    <row r="425" spans="1:2">
      <c r="A425" s="42">
        <v>39</v>
      </c>
      <c r="B425" s="42">
        <v>9</v>
      </c>
    </row>
    <row r="426" spans="1:2">
      <c r="A426" s="42">
        <v>39</v>
      </c>
      <c r="B426" s="42">
        <v>10</v>
      </c>
    </row>
    <row r="427" spans="1:2">
      <c r="A427" s="42">
        <v>39</v>
      </c>
      <c r="B427" s="42">
        <v>13</v>
      </c>
    </row>
    <row r="428" spans="1:2">
      <c r="A428" s="42">
        <v>39</v>
      </c>
      <c r="B428" s="42">
        <v>14</v>
      </c>
    </row>
    <row r="429" spans="1:2">
      <c r="A429" s="42">
        <v>39</v>
      </c>
      <c r="B429" s="42">
        <v>19</v>
      </c>
    </row>
    <row r="430" spans="1:2">
      <c r="A430" s="42">
        <v>40</v>
      </c>
      <c r="B430" s="42">
        <v>1</v>
      </c>
    </row>
    <row r="431" spans="1:2">
      <c r="A431" s="42">
        <v>40</v>
      </c>
      <c r="B431" s="42">
        <v>3</v>
      </c>
    </row>
    <row r="432" spans="1:2">
      <c r="A432" s="42">
        <v>40</v>
      </c>
      <c r="B432" s="42">
        <v>4</v>
      </c>
    </row>
    <row r="433" spans="1:2">
      <c r="A433" s="42">
        <v>40</v>
      </c>
      <c r="B433" s="42">
        <v>5</v>
      </c>
    </row>
    <row r="434" spans="1:2">
      <c r="A434" s="42">
        <v>40</v>
      </c>
      <c r="B434" s="42">
        <v>6</v>
      </c>
    </row>
    <row r="435" spans="1:2">
      <c r="A435" s="42">
        <v>40</v>
      </c>
      <c r="B435" s="42">
        <v>7</v>
      </c>
    </row>
    <row r="436" spans="1:2">
      <c r="A436" s="42">
        <v>40</v>
      </c>
      <c r="B436" s="42">
        <v>10</v>
      </c>
    </row>
    <row r="437" spans="1:2">
      <c r="A437" s="42">
        <v>40</v>
      </c>
      <c r="B437" s="42">
        <v>19</v>
      </c>
    </row>
    <row r="438" spans="1:2">
      <c r="A438" s="42">
        <v>41</v>
      </c>
      <c r="B438" s="42">
        <v>4</v>
      </c>
    </row>
    <row r="439" spans="1:2">
      <c r="A439" s="42">
        <v>41</v>
      </c>
      <c r="B439" s="42">
        <v>5</v>
      </c>
    </row>
    <row r="440" spans="1:2">
      <c r="A440" s="42">
        <v>41</v>
      </c>
      <c r="B440" s="42">
        <v>6</v>
      </c>
    </row>
    <row r="441" spans="1:2">
      <c r="A441" s="42">
        <v>41</v>
      </c>
      <c r="B441" s="42">
        <v>7</v>
      </c>
    </row>
    <row r="442" spans="1:2">
      <c r="A442" s="42">
        <v>41</v>
      </c>
      <c r="B442" s="42">
        <v>9</v>
      </c>
    </row>
    <row r="443" spans="1:2">
      <c r="A443" s="42">
        <v>41</v>
      </c>
      <c r="B443" s="42">
        <v>19</v>
      </c>
    </row>
    <row r="444" spans="1:2">
      <c r="A444" s="42">
        <v>42</v>
      </c>
      <c r="B444" s="42">
        <v>6</v>
      </c>
    </row>
    <row r="445" spans="1:2">
      <c r="A445" s="42">
        <v>42</v>
      </c>
      <c r="B445" s="42">
        <v>7</v>
      </c>
    </row>
    <row r="446" spans="1:2">
      <c r="A446" s="42">
        <v>42</v>
      </c>
      <c r="B446" s="42">
        <v>8</v>
      </c>
    </row>
    <row r="447" spans="1:2">
      <c r="A447" s="42">
        <v>42</v>
      </c>
      <c r="B447" s="42">
        <v>19</v>
      </c>
    </row>
    <row r="448" spans="1:2">
      <c r="A448" s="42">
        <v>43</v>
      </c>
      <c r="B448" s="42">
        <v>3</v>
      </c>
    </row>
    <row r="449" spans="1:2">
      <c r="A449" s="42">
        <v>43</v>
      </c>
      <c r="B449" s="42">
        <v>4</v>
      </c>
    </row>
    <row r="450" spans="1:2">
      <c r="A450" s="42">
        <v>43</v>
      </c>
      <c r="B450" s="42">
        <v>5</v>
      </c>
    </row>
    <row r="451" spans="1:2">
      <c r="A451" s="42">
        <v>43</v>
      </c>
      <c r="B451" s="42">
        <v>6</v>
      </c>
    </row>
    <row r="452" spans="1:2">
      <c r="A452" s="42">
        <v>43</v>
      </c>
      <c r="B452" s="42">
        <v>7</v>
      </c>
    </row>
    <row r="453" spans="1:2">
      <c r="A453" s="42">
        <v>43</v>
      </c>
      <c r="B453" s="42">
        <v>8</v>
      </c>
    </row>
    <row r="454" spans="1:2">
      <c r="A454" s="42">
        <v>43</v>
      </c>
      <c r="B454" s="42">
        <v>10</v>
      </c>
    </row>
    <row r="455" spans="1:2">
      <c r="A455" s="42">
        <v>43</v>
      </c>
      <c r="B455" s="42">
        <v>19</v>
      </c>
    </row>
    <row r="456" spans="1:2">
      <c r="A456" s="42">
        <v>44</v>
      </c>
      <c r="B456" s="42">
        <v>1</v>
      </c>
    </row>
    <row r="457" spans="1:2">
      <c r="A457" s="42">
        <v>45</v>
      </c>
      <c r="B457" s="42">
        <v>4</v>
      </c>
    </row>
    <row r="458" spans="1:2">
      <c r="A458" s="42">
        <v>45</v>
      </c>
      <c r="B458" s="42">
        <v>5</v>
      </c>
    </row>
    <row r="459" spans="1:2">
      <c r="A459" s="42">
        <v>45</v>
      </c>
      <c r="B459" s="42">
        <v>6</v>
      </c>
    </row>
    <row r="460" spans="1:2">
      <c r="A460" s="42">
        <v>45</v>
      </c>
      <c r="B460" s="42">
        <v>7</v>
      </c>
    </row>
    <row r="461" spans="1:2">
      <c r="A461" s="42">
        <v>45</v>
      </c>
      <c r="B461" s="42">
        <v>9</v>
      </c>
    </row>
    <row r="462" spans="1:2">
      <c r="A462" s="42">
        <v>45</v>
      </c>
      <c r="B462" s="42">
        <v>19</v>
      </c>
    </row>
    <row r="463" spans="1:2">
      <c r="A463" s="42">
        <v>46</v>
      </c>
      <c r="B463" s="42">
        <v>1</v>
      </c>
    </row>
    <row r="464" spans="1:2">
      <c r="A464" s="42">
        <v>46</v>
      </c>
      <c r="B464" s="42">
        <v>2</v>
      </c>
    </row>
    <row r="465" spans="1:2">
      <c r="A465" s="42">
        <v>46</v>
      </c>
      <c r="B465" s="42">
        <v>3</v>
      </c>
    </row>
    <row r="466" spans="1:2">
      <c r="A466" s="42">
        <v>46</v>
      </c>
      <c r="B466" s="42">
        <v>4</v>
      </c>
    </row>
    <row r="467" spans="1:2">
      <c r="A467" s="42">
        <v>46</v>
      </c>
      <c r="B467" s="42">
        <v>10</v>
      </c>
    </row>
    <row r="468" spans="1:2">
      <c r="A468" s="42">
        <v>47</v>
      </c>
      <c r="B468" s="42">
        <v>1</v>
      </c>
    </row>
    <row r="469" spans="1:2">
      <c r="A469" s="42">
        <v>47</v>
      </c>
      <c r="B469" s="42">
        <v>19</v>
      </c>
    </row>
    <row r="470" spans="1:2">
      <c r="A470" s="42">
        <v>48</v>
      </c>
      <c r="B470" s="42">
        <v>9</v>
      </c>
    </row>
    <row r="471" spans="1:2">
      <c r="A471" s="42">
        <v>48</v>
      </c>
      <c r="B471" s="42">
        <v>19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11A5-288E-5E45-9DEB-352666F31E2E}">
  <dimension ref="A1:G99"/>
  <sheetViews>
    <sheetView zoomScale="90" zoomScaleNormal="90" workbookViewId="0">
      <selection activeCell="E15" sqref="E15"/>
    </sheetView>
  </sheetViews>
  <sheetFormatPr baseColWidth="10" defaultColWidth="11" defaultRowHeight="15.6"/>
  <cols>
    <col min="1" max="1" width="20.09765625" style="43" customWidth="1"/>
    <col min="2" max="2" width="13.59765625" customWidth="1"/>
    <col min="3" max="3" width="11.19921875" customWidth="1"/>
    <col min="4" max="4" width="12" customWidth="1"/>
    <col min="5" max="5" width="12.69921875" style="47" customWidth="1"/>
    <col min="6" max="6" width="11.69921875" style="47" customWidth="1"/>
  </cols>
  <sheetData>
    <row r="1" spans="1:7" ht="18">
      <c r="A1" s="51" t="s">
        <v>167</v>
      </c>
      <c r="B1" s="8" t="s">
        <v>14</v>
      </c>
      <c r="C1" s="8" t="s">
        <v>168</v>
      </c>
      <c r="D1" s="8" t="s">
        <v>169</v>
      </c>
      <c r="E1" s="56" t="s">
        <v>170</v>
      </c>
      <c r="F1" s="56" t="s">
        <v>171</v>
      </c>
      <c r="G1" s="8" t="s">
        <v>172</v>
      </c>
    </row>
    <row r="2" spans="1:7">
      <c r="A2" s="52"/>
      <c r="B2" s="54">
        <v>14</v>
      </c>
      <c r="C2" s="54">
        <v>1</v>
      </c>
      <c r="D2" s="54">
        <v>1</v>
      </c>
      <c r="E2" s="58">
        <v>46174</v>
      </c>
      <c r="F2" s="58">
        <v>46194</v>
      </c>
      <c r="G2" s="54" t="s">
        <v>173</v>
      </c>
    </row>
    <row r="3" spans="1:7">
      <c r="A3" s="52"/>
      <c r="B3" s="54">
        <v>14</v>
      </c>
      <c r="C3" s="54" t="s">
        <v>174</v>
      </c>
      <c r="D3" s="54">
        <v>6</v>
      </c>
      <c r="E3" s="44">
        <v>46093</v>
      </c>
      <c r="F3" s="44">
        <v>46102</v>
      </c>
      <c r="G3" s="54" t="s">
        <v>173</v>
      </c>
    </row>
    <row r="4" spans="1:7">
      <c r="A4" s="52"/>
      <c r="B4" s="54">
        <v>20</v>
      </c>
      <c r="C4" s="54">
        <v>5</v>
      </c>
      <c r="D4" s="54">
        <v>5</v>
      </c>
      <c r="E4" s="44">
        <v>46272</v>
      </c>
      <c r="F4" s="44">
        <v>46292</v>
      </c>
      <c r="G4" s="54" t="s">
        <v>173</v>
      </c>
    </row>
    <row r="5" spans="1:7">
      <c r="A5" s="52"/>
      <c r="B5" s="54">
        <v>20</v>
      </c>
      <c r="C5" s="54" t="s">
        <v>175</v>
      </c>
      <c r="D5" s="54">
        <v>13</v>
      </c>
      <c r="E5" s="44">
        <v>46107</v>
      </c>
      <c r="F5" s="44">
        <v>46116</v>
      </c>
      <c r="G5" s="54" t="s">
        <v>173</v>
      </c>
    </row>
    <row r="6" spans="1:7">
      <c r="A6" s="52"/>
      <c r="B6" s="54">
        <v>24</v>
      </c>
      <c r="C6" s="54">
        <v>2</v>
      </c>
      <c r="D6" s="54">
        <v>2</v>
      </c>
      <c r="E6" s="44">
        <v>46209</v>
      </c>
      <c r="F6" s="44">
        <v>46229</v>
      </c>
      <c r="G6" s="54" t="s">
        <v>173</v>
      </c>
    </row>
    <row r="7" spans="1:7">
      <c r="A7" s="52"/>
      <c r="B7" s="54">
        <v>24</v>
      </c>
      <c r="C7" s="54" t="s">
        <v>176</v>
      </c>
      <c r="D7" s="54">
        <v>10</v>
      </c>
      <c r="E7" s="44">
        <v>46135</v>
      </c>
      <c r="F7" s="44">
        <v>46144</v>
      </c>
      <c r="G7" s="54" t="s">
        <v>173</v>
      </c>
    </row>
    <row r="8" spans="1:7">
      <c r="A8" s="52"/>
      <c r="B8" s="54">
        <v>17</v>
      </c>
      <c r="C8" s="54">
        <v>3</v>
      </c>
      <c r="D8" s="54">
        <v>3</v>
      </c>
      <c r="E8" s="44">
        <v>46230</v>
      </c>
      <c r="F8" s="44">
        <v>46250</v>
      </c>
      <c r="G8" s="54" t="s">
        <v>173</v>
      </c>
    </row>
    <row r="9" spans="1:7">
      <c r="A9" s="52"/>
      <c r="B9" s="54">
        <v>17</v>
      </c>
      <c r="C9" s="54" t="s">
        <v>177</v>
      </c>
      <c r="D9" s="54">
        <v>12</v>
      </c>
      <c r="E9" s="44">
        <v>46056</v>
      </c>
      <c r="F9" s="44">
        <v>46064</v>
      </c>
      <c r="G9" s="54" t="s">
        <v>173</v>
      </c>
    </row>
    <row r="10" spans="1:7">
      <c r="A10" s="52"/>
      <c r="B10" s="54">
        <v>16</v>
      </c>
      <c r="C10" s="54">
        <v>5</v>
      </c>
      <c r="D10" s="54">
        <v>5</v>
      </c>
      <c r="E10" s="44">
        <v>46272</v>
      </c>
      <c r="F10" s="44">
        <v>46292</v>
      </c>
      <c r="G10" s="54" t="s">
        <v>173</v>
      </c>
    </row>
    <row r="11" spans="1:7">
      <c r="A11" s="52"/>
      <c r="B11" s="54">
        <v>16</v>
      </c>
      <c r="C11" s="54" t="s">
        <v>178</v>
      </c>
      <c r="D11" s="54">
        <v>15</v>
      </c>
      <c r="E11" s="44">
        <v>46119</v>
      </c>
      <c r="F11" s="44">
        <v>46128</v>
      </c>
      <c r="G11" s="54" t="s">
        <v>173</v>
      </c>
    </row>
    <row r="12" spans="1:7">
      <c r="A12" s="52"/>
      <c r="B12" s="54">
        <v>21</v>
      </c>
      <c r="C12" s="54">
        <v>5</v>
      </c>
      <c r="D12" s="54">
        <v>5</v>
      </c>
      <c r="E12" s="44">
        <v>46272</v>
      </c>
      <c r="F12" s="44">
        <v>46292</v>
      </c>
      <c r="G12" s="54" t="s">
        <v>173</v>
      </c>
    </row>
    <row r="13" spans="1:7">
      <c r="A13" s="52"/>
      <c r="B13" s="54">
        <v>21</v>
      </c>
      <c r="C13" s="54" t="s">
        <v>179</v>
      </c>
      <c r="D13" s="54">
        <v>16</v>
      </c>
      <c r="E13" s="44">
        <v>46153</v>
      </c>
      <c r="F13" s="44">
        <v>46162</v>
      </c>
      <c r="G13" s="54" t="s">
        <v>173</v>
      </c>
    </row>
    <row r="14" spans="1:7">
      <c r="A14" s="52"/>
      <c r="B14" s="54">
        <v>15</v>
      </c>
      <c r="C14" s="54">
        <v>2</v>
      </c>
      <c r="D14" s="54">
        <v>2</v>
      </c>
      <c r="E14" s="44">
        <v>46209</v>
      </c>
      <c r="F14" s="44">
        <v>46229</v>
      </c>
      <c r="G14" s="54" t="s">
        <v>173</v>
      </c>
    </row>
    <row r="15" spans="1:7">
      <c r="A15" s="52"/>
      <c r="B15" s="54">
        <v>15</v>
      </c>
      <c r="C15" s="54" t="s">
        <v>180</v>
      </c>
      <c r="D15" s="54">
        <v>9</v>
      </c>
      <c r="E15" s="44">
        <v>46301</v>
      </c>
      <c r="F15" s="44">
        <v>46305</v>
      </c>
      <c r="G15" s="54" t="s">
        <v>173</v>
      </c>
    </row>
    <row r="16" spans="1:7">
      <c r="A16" s="52"/>
      <c r="B16" s="54">
        <v>11</v>
      </c>
      <c r="C16" s="54">
        <v>1</v>
      </c>
      <c r="D16" s="54">
        <v>1</v>
      </c>
      <c r="E16" s="58">
        <v>46174</v>
      </c>
      <c r="F16" s="58">
        <v>46194</v>
      </c>
      <c r="G16" s="54" t="s">
        <v>173</v>
      </c>
    </row>
    <row r="17" spans="1:7">
      <c r="A17" s="52"/>
      <c r="B17" s="54">
        <v>11</v>
      </c>
      <c r="C17" s="54" t="s">
        <v>181</v>
      </c>
      <c r="D17" s="54">
        <v>8</v>
      </c>
      <c r="E17" s="44">
        <v>46307</v>
      </c>
      <c r="F17" s="44">
        <v>46316</v>
      </c>
      <c r="G17" s="54" t="s">
        <v>173</v>
      </c>
    </row>
    <row r="18" spans="1:7">
      <c r="A18" s="52"/>
      <c r="B18" s="54">
        <v>19</v>
      </c>
      <c r="C18" s="54">
        <v>5</v>
      </c>
      <c r="D18" s="54">
        <v>5</v>
      </c>
      <c r="E18" s="44">
        <v>46272</v>
      </c>
      <c r="F18" s="44">
        <v>46292</v>
      </c>
      <c r="G18" s="54" t="s">
        <v>173</v>
      </c>
    </row>
    <row r="19" spans="1:7">
      <c r="A19" s="52"/>
      <c r="B19" s="54">
        <v>19</v>
      </c>
      <c r="C19" s="54" t="s">
        <v>178</v>
      </c>
      <c r="D19" s="54">
        <v>15</v>
      </c>
      <c r="E19" s="44">
        <v>46119</v>
      </c>
      <c r="F19" s="44">
        <v>46128</v>
      </c>
      <c r="G19" s="54" t="s">
        <v>173</v>
      </c>
    </row>
    <row r="20" spans="1:7">
      <c r="A20" s="52"/>
      <c r="B20" s="54">
        <v>4</v>
      </c>
      <c r="C20" s="54">
        <v>3</v>
      </c>
      <c r="D20" s="54">
        <v>3</v>
      </c>
      <c r="E20" s="44">
        <v>46230</v>
      </c>
      <c r="F20" s="44">
        <v>46250</v>
      </c>
      <c r="G20" s="54" t="s">
        <v>173</v>
      </c>
    </row>
    <row r="21" spans="1:7">
      <c r="A21" s="52"/>
      <c r="B21" s="54">
        <v>4</v>
      </c>
      <c r="C21" s="54" t="s">
        <v>177</v>
      </c>
      <c r="D21" s="54">
        <v>12</v>
      </c>
      <c r="E21" s="44">
        <v>46056</v>
      </c>
      <c r="F21" s="44">
        <v>46064</v>
      </c>
      <c r="G21" s="54" t="s">
        <v>173</v>
      </c>
    </row>
    <row r="22" spans="1:7">
      <c r="A22" s="52"/>
      <c r="B22" s="54">
        <v>9</v>
      </c>
      <c r="C22" s="54">
        <v>5</v>
      </c>
      <c r="D22" s="54">
        <v>5</v>
      </c>
      <c r="E22" s="44">
        <v>46272</v>
      </c>
      <c r="F22" s="44">
        <v>46292</v>
      </c>
      <c r="G22" s="54" t="s">
        <v>173</v>
      </c>
    </row>
    <row r="23" spans="1:7">
      <c r="A23" s="52"/>
      <c r="B23" s="54">
        <v>9</v>
      </c>
      <c r="C23" s="54" t="s">
        <v>178</v>
      </c>
      <c r="D23" s="54">
        <v>15</v>
      </c>
      <c r="E23" s="44">
        <v>46119</v>
      </c>
      <c r="F23" s="44">
        <v>46128</v>
      </c>
      <c r="G23" s="54" t="s">
        <v>173</v>
      </c>
    </row>
    <row r="24" spans="1:7">
      <c r="A24" s="52"/>
      <c r="B24" s="54">
        <v>1</v>
      </c>
      <c r="C24" s="54">
        <v>2</v>
      </c>
      <c r="D24" s="54">
        <v>2</v>
      </c>
      <c r="E24" s="44">
        <v>46209</v>
      </c>
      <c r="F24" s="44">
        <v>46229</v>
      </c>
      <c r="G24" s="54" t="s">
        <v>173</v>
      </c>
    </row>
    <row r="25" spans="1:7">
      <c r="A25" s="52"/>
      <c r="B25" s="54">
        <v>1</v>
      </c>
      <c r="C25" s="54" t="s">
        <v>174</v>
      </c>
      <c r="D25" s="54">
        <v>6</v>
      </c>
      <c r="E25" s="44">
        <v>46093</v>
      </c>
      <c r="F25" s="44">
        <v>46102</v>
      </c>
      <c r="G25" s="54" t="s">
        <v>173</v>
      </c>
    </row>
    <row r="26" spans="1:7">
      <c r="A26" s="52"/>
      <c r="B26" s="54">
        <v>6</v>
      </c>
      <c r="C26" s="54">
        <v>4</v>
      </c>
      <c r="D26" s="54">
        <v>4</v>
      </c>
      <c r="E26" s="44">
        <v>46251</v>
      </c>
      <c r="F26" s="44">
        <v>46271</v>
      </c>
      <c r="G26" s="54" t="s">
        <v>173</v>
      </c>
    </row>
    <row r="27" spans="1:7">
      <c r="A27" s="52"/>
      <c r="B27" s="54">
        <v>6</v>
      </c>
      <c r="C27" s="54" t="s">
        <v>182</v>
      </c>
      <c r="D27" s="54">
        <v>14</v>
      </c>
      <c r="E27" s="44">
        <v>46163</v>
      </c>
      <c r="F27" s="44">
        <v>46172</v>
      </c>
      <c r="G27" s="54" t="s">
        <v>173</v>
      </c>
    </row>
    <row r="28" spans="1:7">
      <c r="A28" s="52"/>
      <c r="B28" s="54">
        <v>10</v>
      </c>
      <c r="C28" s="54">
        <v>4</v>
      </c>
      <c r="D28" s="54">
        <v>4</v>
      </c>
      <c r="E28" s="44">
        <v>46251</v>
      </c>
      <c r="F28" s="44">
        <v>46271</v>
      </c>
      <c r="G28" s="54" t="s">
        <v>173</v>
      </c>
    </row>
    <row r="29" spans="1:7">
      <c r="A29" s="52"/>
      <c r="B29" s="54">
        <v>10</v>
      </c>
      <c r="C29" s="54" t="s">
        <v>182</v>
      </c>
      <c r="D29" s="54">
        <v>14</v>
      </c>
      <c r="E29" s="44">
        <v>46163</v>
      </c>
      <c r="F29" s="44">
        <v>46172</v>
      </c>
      <c r="G29" s="54" t="s">
        <v>173</v>
      </c>
    </row>
    <row r="30" spans="1:7">
      <c r="A30" s="52"/>
      <c r="B30" s="54">
        <v>3</v>
      </c>
      <c r="C30" s="54">
        <v>5</v>
      </c>
      <c r="D30" s="54">
        <v>5</v>
      </c>
      <c r="E30" s="44">
        <v>46272</v>
      </c>
      <c r="F30" s="44">
        <v>46292</v>
      </c>
      <c r="G30" s="54" t="s">
        <v>173</v>
      </c>
    </row>
    <row r="31" spans="1:7">
      <c r="A31" s="52"/>
      <c r="B31" s="54">
        <v>3</v>
      </c>
      <c r="C31" s="54" t="s">
        <v>175</v>
      </c>
      <c r="D31" s="54">
        <v>13</v>
      </c>
      <c r="E31" s="44">
        <v>46107</v>
      </c>
      <c r="F31" s="44">
        <v>46116</v>
      </c>
      <c r="G31" s="54" t="s">
        <v>173</v>
      </c>
    </row>
    <row r="32" spans="1:7">
      <c r="A32" s="52"/>
      <c r="B32" s="54">
        <v>22</v>
      </c>
      <c r="C32" s="54">
        <v>2</v>
      </c>
      <c r="D32" s="54">
        <v>2</v>
      </c>
      <c r="E32" s="44">
        <v>46209</v>
      </c>
      <c r="F32" s="44">
        <v>46229</v>
      </c>
      <c r="G32" s="54" t="s">
        <v>173</v>
      </c>
    </row>
    <row r="33" spans="1:7">
      <c r="A33" s="52"/>
      <c r="B33" s="54">
        <v>22</v>
      </c>
      <c r="C33" s="54" t="s">
        <v>180</v>
      </c>
      <c r="D33" s="54">
        <v>9</v>
      </c>
      <c r="E33" s="44">
        <v>46301</v>
      </c>
      <c r="F33" s="44">
        <v>46305</v>
      </c>
      <c r="G33" s="54" t="s">
        <v>173</v>
      </c>
    </row>
    <row r="34" spans="1:7">
      <c r="A34" s="52"/>
      <c r="B34" s="54">
        <v>2</v>
      </c>
      <c r="C34" s="54">
        <v>2</v>
      </c>
      <c r="D34" s="54">
        <v>2</v>
      </c>
      <c r="E34" s="44">
        <v>46209</v>
      </c>
      <c r="F34" s="44">
        <v>46229</v>
      </c>
      <c r="G34" s="54" t="s">
        <v>173</v>
      </c>
    </row>
    <row r="35" spans="1:7">
      <c r="A35" s="52"/>
      <c r="B35" s="54">
        <v>2</v>
      </c>
      <c r="C35" s="54" t="s">
        <v>180</v>
      </c>
      <c r="D35" s="54">
        <v>9</v>
      </c>
      <c r="E35" s="44">
        <v>46301</v>
      </c>
      <c r="F35" s="44">
        <v>46305</v>
      </c>
      <c r="G35" s="54" t="s">
        <v>173</v>
      </c>
    </row>
    <row r="36" spans="1:7">
      <c r="A36" s="53"/>
      <c r="B36" s="55">
        <v>7</v>
      </c>
      <c r="C36" s="55">
        <v>1</v>
      </c>
      <c r="D36" s="55">
        <v>1</v>
      </c>
      <c r="E36" s="58">
        <v>46174</v>
      </c>
      <c r="F36" s="58">
        <v>46194</v>
      </c>
      <c r="G36" s="54" t="s">
        <v>173</v>
      </c>
    </row>
    <row r="37" spans="1:7">
      <c r="A37" s="53"/>
      <c r="B37" s="55">
        <v>7</v>
      </c>
      <c r="C37" s="55" t="s">
        <v>181</v>
      </c>
      <c r="D37" s="55">
        <v>8</v>
      </c>
      <c r="E37" s="57">
        <v>46307</v>
      </c>
      <c r="F37" s="57">
        <v>46316</v>
      </c>
      <c r="G37" s="55" t="s">
        <v>173</v>
      </c>
    </row>
    <row r="38" spans="1:7">
      <c r="A38" s="53"/>
      <c r="B38" s="55">
        <v>18</v>
      </c>
      <c r="C38" s="55">
        <v>5</v>
      </c>
      <c r="D38" s="55">
        <v>5</v>
      </c>
      <c r="E38" s="57">
        <v>46272</v>
      </c>
      <c r="F38" s="57">
        <v>46292</v>
      </c>
      <c r="G38" s="55" t="s">
        <v>173</v>
      </c>
    </row>
    <row r="39" spans="1:7">
      <c r="A39" s="53"/>
      <c r="B39" s="55">
        <v>18</v>
      </c>
      <c r="C39" s="55" t="s">
        <v>175</v>
      </c>
      <c r="D39" s="55">
        <v>13</v>
      </c>
      <c r="E39" s="57">
        <v>46107</v>
      </c>
      <c r="F39" s="57">
        <v>46116</v>
      </c>
      <c r="G39" s="55" t="s">
        <v>173</v>
      </c>
    </row>
    <row r="40" spans="1:7">
      <c r="A40" s="53"/>
      <c r="B40" s="55">
        <v>23</v>
      </c>
      <c r="C40" s="55">
        <v>1</v>
      </c>
      <c r="D40" s="55">
        <v>1</v>
      </c>
      <c r="E40" s="58">
        <v>46174</v>
      </c>
      <c r="F40" s="58">
        <v>46194</v>
      </c>
      <c r="G40" s="54" t="s">
        <v>173</v>
      </c>
    </row>
    <row r="41" spans="1:7">
      <c r="A41" s="53"/>
      <c r="B41" s="55">
        <v>23</v>
      </c>
      <c r="C41" s="55" t="s">
        <v>181</v>
      </c>
      <c r="D41" s="55">
        <v>8</v>
      </c>
      <c r="E41" s="57">
        <v>46307</v>
      </c>
      <c r="F41" s="57">
        <v>46316</v>
      </c>
      <c r="G41" s="55" t="s">
        <v>173</v>
      </c>
    </row>
    <row r="42" spans="1:7">
      <c r="A42" s="53"/>
      <c r="B42" s="55">
        <v>27</v>
      </c>
      <c r="C42" s="55"/>
      <c r="D42" s="55"/>
      <c r="E42" s="57">
        <v>46230</v>
      </c>
      <c r="F42" s="57">
        <v>46237</v>
      </c>
      <c r="G42" s="55" t="s">
        <v>173</v>
      </c>
    </row>
    <row r="43" spans="1:7">
      <c r="A43" s="53"/>
      <c r="B43" s="55">
        <v>28</v>
      </c>
      <c r="C43" s="55"/>
      <c r="D43" s="55"/>
      <c r="E43" s="57">
        <v>46251</v>
      </c>
      <c r="F43" s="57">
        <v>46257</v>
      </c>
      <c r="G43" s="55" t="s">
        <v>173</v>
      </c>
    </row>
    <row r="44" spans="1:7">
      <c r="A44" s="53"/>
      <c r="B44" s="55">
        <v>29</v>
      </c>
      <c r="C44" s="55"/>
      <c r="D44" s="55"/>
      <c r="E44" s="57">
        <v>46237</v>
      </c>
      <c r="F44" s="57">
        <v>46244</v>
      </c>
      <c r="G44" s="55" t="s">
        <v>173</v>
      </c>
    </row>
    <row r="45" spans="1:7">
      <c r="A45" s="53"/>
      <c r="B45" s="55">
        <v>30</v>
      </c>
      <c r="C45" s="55"/>
      <c r="D45" s="55"/>
      <c r="E45" s="57">
        <v>46245</v>
      </c>
      <c r="F45" s="57">
        <v>46252</v>
      </c>
      <c r="G45" s="55" t="s">
        <v>173</v>
      </c>
    </row>
    <row r="46" spans="1:7">
      <c r="A46" s="53"/>
      <c r="B46" s="55">
        <v>31</v>
      </c>
      <c r="C46" s="55"/>
      <c r="D46" s="55"/>
      <c r="E46" s="57">
        <v>46251</v>
      </c>
      <c r="F46" s="57">
        <v>46258</v>
      </c>
      <c r="G46" s="55" t="s">
        <v>173</v>
      </c>
    </row>
    <row r="47" spans="1:7">
      <c r="A47" s="53"/>
      <c r="B47" s="55">
        <v>32</v>
      </c>
      <c r="C47" s="55"/>
      <c r="D47" s="55"/>
      <c r="E47" s="57">
        <v>46239</v>
      </c>
      <c r="F47" s="57">
        <v>46246</v>
      </c>
      <c r="G47" s="55" t="s">
        <v>173</v>
      </c>
    </row>
    <row r="48" spans="1:7">
      <c r="A48" s="53"/>
      <c r="B48" s="55">
        <v>33</v>
      </c>
      <c r="C48" s="55"/>
      <c r="D48" s="55"/>
      <c r="E48" s="57">
        <v>46226</v>
      </c>
      <c r="F48" s="57">
        <v>46233</v>
      </c>
      <c r="G48" s="55" t="s">
        <v>173</v>
      </c>
    </row>
    <row r="49" spans="1:7">
      <c r="A49" s="53"/>
      <c r="B49" s="55">
        <v>34</v>
      </c>
      <c r="C49" s="55"/>
      <c r="D49" s="55"/>
      <c r="E49" s="57">
        <v>46245</v>
      </c>
      <c r="F49" s="57">
        <v>46252</v>
      </c>
      <c r="G49" s="55" t="s">
        <v>173</v>
      </c>
    </row>
    <row r="50" spans="1:7">
      <c r="A50" s="53"/>
      <c r="B50" s="55">
        <v>35</v>
      </c>
      <c r="C50" s="55"/>
      <c r="D50" s="55"/>
      <c r="E50" s="57">
        <v>46266</v>
      </c>
      <c r="F50" s="57">
        <v>46273</v>
      </c>
      <c r="G50" s="55" t="s">
        <v>173</v>
      </c>
    </row>
    <row r="51" spans="1:7">
      <c r="A51" s="53"/>
      <c r="B51" s="55">
        <v>36</v>
      </c>
      <c r="C51" s="55"/>
      <c r="D51" s="55"/>
      <c r="E51" s="57">
        <v>46259</v>
      </c>
      <c r="F51" s="57">
        <v>46265</v>
      </c>
      <c r="G51" s="55" t="s">
        <v>173</v>
      </c>
    </row>
    <row r="52" spans="1:7">
      <c r="A52" s="53"/>
      <c r="B52" s="55">
        <v>37</v>
      </c>
      <c r="C52" s="55"/>
      <c r="D52" s="55"/>
      <c r="E52" s="57">
        <v>46231</v>
      </c>
      <c r="F52" s="57">
        <v>46238</v>
      </c>
      <c r="G52" s="55" t="s">
        <v>173</v>
      </c>
    </row>
    <row r="53" spans="1:7">
      <c r="A53" s="53"/>
      <c r="B53" s="55">
        <v>38</v>
      </c>
      <c r="C53" s="55"/>
      <c r="D53" s="55"/>
      <c r="E53" s="57">
        <v>46245</v>
      </c>
      <c r="F53" s="57">
        <v>46252</v>
      </c>
      <c r="G53" s="55" t="s">
        <v>173</v>
      </c>
    </row>
    <row r="54" spans="1:7">
      <c r="A54" s="53"/>
      <c r="B54" s="55">
        <v>39</v>
      </c>
      <c r="C54" s="55"/>
      <c r="D54" s="55"/>
      <c r="E54" s="57">
        <v>46259</v>
      </c>
      <c r="F54" s="57">
        <v>46266</v>
      </c>
      <c r="G54" s="55" t="s">
        <v>173</v>
      </c>
    </row>
    <row r="55" spans="1:7">
      <c r="A55" s="53"/>
      <c r="B55" s="55">
        <v>40</v>
      </c>
      <c r="C55" s="55"/>
      <c r="D55" s="55"/>
      <c r="E55" s="57">
        <v>46244</v>
      </c>
      <c r="F55" s="57">
        <v>46251</v>
      </c>
      <c r="G55" s="55" t="s">
        <v>173</v>
      </c>
    </row>
    <row r="56" spans="1:7">
      <c r="A56" s="53"/>
      <c r="B56" s="55"/>
      <c r="C56" s="55"/>
      <c r="D56" s="55"/>
      <c r="E56" s="57"/>
      <c r="F56" s="57"/>
      <c r="G56" s="55"/>
    </row>
    <row r="57" spans="1:7">
      <c r="A57" s="53"/>
      <c r="B57" s="55"/>
      <c r="C57" s="55"/>
      <c r="D57" s="55"/>
      <c r="E57" s="57"/>
      <c r="F57" s="57"/>
      <c r="G57" s="55"/>
    </row>
    <row r="58" spans="1:7">
      <c r="A58" s="53"/>
      <c r="B58" s="55"/>
      <c r="C58" s="55"/>
      <c r="D58" s="55"/>
      <c r="E58" s="57"/>
      <c r="F58" s="57"/>
      <c r="G58" s="55"/>
    </row>
    <row r="59" spans="1:7">
      <c r="A59" s="53"/>
      <c r="B59" s="55"/>
      <c r="C59" s="55"/>
      <c r="D59" s="55"/>
      <c r="E59" s="57"/>
      <c r="F59" s="57"/>
      <c r="G59" s="55"/>
    </row>
    <row r="60" spans="1:7">
      <c r="A60" s="53"/>
      <c r="B60" s="55"/>
      <c r="C60" s="55"/>
      <c r="D60" s="55"/>
      <c r="E60" s="57"/>
      <c r="F60" s="57"/>
      <c r="G60" s="55"/>
    </row>
    <row r="61" spans="1:7">
      <c r="A61" s="53"/>
      <c r="B61" s="55"/>
      <c r="C61" s="55"/>
      <c r="D61" s="55"/>
      <c r="E61" s="57"/>
      <c r="F61" s="57"/>
      <c r="G61" s="55"/>
    </row>
    <row r="62" spans="1:7">
      <c r="A62" s="53"/>
      <c r="B62" s="55"/>
      <c r="C62" s="55"/>
      <c r="D62" s="55"/>
      <c r="E62" s="57"/>
      <c r="F62" s="57"/>
      <c r="G62" s="55"/>
    </row>
    <row r="63" spans="1:7">
      <c r="A63" s="53"/>
      <c r="B63" s="55"/>
      <c r="C63" s="55"/>
      <c r="D63" s="55"/>
      <c r="E63" s="57"/>
      <c r="F63" s="57"/>
      <c r="G63" s="55"/>
    </row>
    <row r="64" spans="1:7">
      <c r="A64" s="53"/>
      <c r="B64" s="55"/>
      <c r="C64" s="55"/>
      <c r="D64" s="55"/>
      <c r="E64" s="57"/>
      <c r="F64" s="57"/>
      <c r="G64" s="55"/>
    </row>
    <row r="65" spans="1:7">
      <c r="A65" s="53"/>
      <c r="B65" s="55"/>
      <c r="C65" s="55"/>
      <c r="D65" s="55"/>
      <c r="E65" s="57"/>
      <c r="F65" s="57"/>
      <c r="G65" s="55"/>
    </row>
    <row r="66" spans="1:7">
      <c r="A66" s="53"/>
      <c r="B66" s="55"/>
      <c r="C66" s="55"/>
      <c r="D66" s="55"/>
      <c r="E66" s="57"/>
      <c r="F66" s="57"/>
      <c r="G66" s="55"/>
    </row>
    <row r="67" spans="1:7">
      <c r="A67" s="53"/>
      <c r="B67" s="55"/>
      <c r="C67" s="55"/>
      <c r="D67" s="55"/>
      <c r="E67" s="57"/>
      <c r="F67" s="57"/>
      <c r="G67" s="55"/>
    </row>
    <row r="68" spans="1:7">
      <c r="A68" s="53"/>
      <c r="B68" s="55"/>
      <c r="C68" s="55"/>
      <c r="D68" s="55"/>
      <c r="E68" s="57"/>
      <c r="F68" s="57"/>
      <c r="G68" s="55"/>
    </row>
    <row r="69" spans="1:7">
      <c r="A69" s="53"/>
      <c r="B69" s="55"/>
      <c r="C69" s="55"/>
      <c r="D69" s="55"/>
      <c r="E69" s="57"/>
      <c r="F69" s="57"/>
      <c r="G69" s="55"/>
    </row>
    <row r="70" spans="1:7">
      <c r="A70" s="53"/>
      <c r="B70" s="55"/>
      <c r="C70" s="55"/>
      <c r="D70" s="55"/>
      <c r="E70" s="57"/>
      <c r="F70" s="57"/>
      <c r="G70" s="55"/>
    </row>
    <row r="71" spans="1:7">
      <c r="A71" s="53"/>
      <c r="B71" s="55"/>
      <c r="C71" s="55"/>
      <c r="D71" s="55"/>
      <c r="E71" s="57"/>
      <c r="F71" s="57"/>
      <c r="G71" s="55"/>
    </row>
    <row r="72" spans="1:7">
      <c r="A72" s="53"/>
      <c r="B72" s="55"/>
      <c r="C72" s="55"/>
      <c r="D72" s="55"/>
      <c r="E72" s="57"/>
      <c r="F72" s="57"/>
      <c r="G72" s="55"/>
    </row>
    <row r="73" spans="1:7">
      <c r="A73" s="53"/>
      <c r="B73" s="55"/>
      <c r="C73" s="55"/>
      <c r="D73" s="55"/>
      <c r="E73" s="57"/>
      <c r="F73" s="57"/>
      <c r="G73" s="55"/>
    </row>
    <row r="74" spans="1:7">
      <c r="A74" s="53"/>
      <c r="B74" s="55"/>
      <c r="C74" s="55"/>
      <c r="D74" s="55"/>
      <c r="E74" s="57"/>
      <c r="F74" s="57"/>
      <c r="G74" s="55"/>
    </row>
    <row r="75" spans="1:7">
      <c r="A75" s="53"/>
      <c r="B75" s="55"/>
      <c r="C75" s="55"/>
      <c r="D75" s="55"/>
      <c r="E75" s="57"/>
      <c r="F75" s="57"/>
      <c r="G75" s="55"/>
    </row>
    <row r="76" spans="1:7">
      <c r="A76" s="53"/>
      <c r="B76" s="55"/>
      <c r="C76" s="55"/>
      <c r="D76" s="55"/>
      <c r="E76" s="57"/>
      <c r="F76" s="57"/>
      <c r="G76" s="55"/>
    </row>
    <row r="77" spans="1:7">
      <c r="A77" s="53"/>
      <c r="B77" s="55"/>
      <c r="C77" s="55"/>
      <c r="D77" s="55"/>
      <c r="E77" s="57"/>
      <c r="F77" s="57"/>
      <c r="G77" s="55"/>
    </row>
    <row r="78" spans="1:7">
      <c r="A78" s="53"/>
      <c r="B78" s="55"/>
      <c r="C78" s="55"/>
      <c r="D78" s="55"/>
      <c r="E78" s="57"/>
      <c r="F78" s="57"/>
      <c r="G78" s="55"/>
    </row>
    <row r="79" spans="1:7">
      <c r="A79" s="53"/>
      <c r="B79" s="55"/>
      <c r="C79" s="55"/>
      <c r="D79" s="55"/>
      <c r="E79" s="57"/>
      <c r="F79" s="57"/>
      <c r="G79" s="55"/>
    </row>
    <row r="80" spans="1:7">
      <c r="A80" s="53"/>
      <c r="B80" s="55"/>
      <c r="C80" s="55"/>
      <c r="D80" s="55"/>
      <c r="E80" s="57"/>
      <c r="F80" s="57"/>
      <c r="G80" s="55"/>
    </row>
    <row r="81" spans="1:7">
      <c r="A81" s="53"/>
      <c r="B81" s="55"/>
      <c r="C81" s="55"/>
      <c r="D81" s="55"/>
      <c r="E81" s="57"/>
      <c r="F81" s="57"/>
      <c r="G81" s="55"/>
    </row>
    <row r="82" spans="1:7">
      <c r="A82" s="53"/>
      <c r="B82" s="55"/>
      <c r="C82" s="55"/>
      <c r="D82" s="55"/>
      <c r="E82" s="57"/>
      <c r="F82" s="57"/>
      <c r="G82" s="55"/>
    </row>
    <row r="83" spans="1:7">
      <c r="A83" s="53"/>
      <c r="B83" s="55"/>
      <c r="C83" s="55"/>
      <c r="D83" s="55"/>
      <c r="E83" s="57"/>
      <c r="F83" s="57"/>
      <c r="G83" s="55"/>
    </row>
    <row r="84" spans="1:7">
      <c r="A84" s="53"/>
      <c r="B84" s="55"/>
      <c r="C84" s="55"/>
      <c r="D84" s="55"/>
      <c r="E84" s="57"/>
      <c r="F84" s="57"/>
      <c r="G84" s="55"/>
    </row>
    <row r="85" spans="1:7">
      <c r="A85" s="53"/>
      <c r="B85" s="55"/>
      <c r="C85" s="55"/>
      <c r="D85" s="55"/>
      <c r="E85" s="57"/>
      <c r="F85" s="57"/>
      <c r="G85" s="55"/>
    </row>
    <row r="86" spans="1:7">
      <c r="A86" s="53"/>
      <c r="B86" s="55"/>
      <c r="C86" s="55"/>
      <c r="D86" s="55"/>
      <c r="E86" s="57"/>
      <c r="F86" s="57"/>
      <c r="G86" s="55"/>
    </row>
    <row r="87" spans="1:7">
      <c r="A87" s="53"/>
      <c r="B87" s="55"/>
      <c r="C87" s="55"/>
      <c r="D87" s="55"/>
      <c r="E87" s="57"/>
      <c r="F87" s="57"/>
      <c r="G87" s="55"/>
    </row>
    <row r="88" spans="1:7">
      <c r="A88" s="53"/>
      <c r="B88" s="55"/>
      <c r="C88" s="55"/>
      <c r="D88" s="55"/>
      <c r="E88" s="57"/>
      <c r="F88" s="57"/>
      <c r="G88" s="55"/>
    </row>
    <row r="89" spans="1:7">
      <c r="A89" s="53"/>
      <c r="B89" s="55"/>
      <c r="C89" s="55"/>
      <c r="D89" s="55"/>
      <c r="E89" s="57"/>
      <c r="F89" s="57"/>
      <c r="G89" s="55"/>
    </row>
    <row r="90" spans="1:7">
      <c r="A90" s="53"/>
      <c r="B90" s="55"/>
      <c r="C90" s="55"/>
      <c r="D90" s="55"/>
      <c r="E90" s="57"/>
      <c r="F90" s="57"/>
      <c r="G90" s="55"/>
    </row>
    <row r="91" spans="1:7">
      <c r="A91" s="53"/>
      <c r="B91" s="55"/>
      <c r="C91" s="55"/>
      <c r="D91" s="55"/>
      <c r="E91" s="57"/>
      <c r="F91" s="57"/>
      <c r="G91" s="55"/>
    </row>
    <row r="92" spans="1:7">
      <c r="A92" s="53"/>
      <c r="B92" s="55"/>
      <c r="C92" s="55"/>
      <c r="D92" s="55"/>
      <c r="E92" s="57"/>
      <c r="F92" s="57"/>
      <c r="G92" s="55"/>
    </row>
    <row r="93" spans="1:7">
      <c r="A93" s="53"/>
      <c r="B93" s="55"/>
      <c r="C93" s="55"/>
      <c r="D93" s="55"/>
      <c r="E93" s="57"/>
      <c r="F93" s="57"/>
      <c r="G93" s="55"/>
    </row>
    <row r="94" spans="1:7">
      <c r="A94" s="53"/>
      <c r="B94" s="55"/>
      <c r="C94" s="55"/>
      <c r="D94" s="55"/>
      <c r="E94" s="57"/>
      <c r="F94" s="57"/>
      <c r="G94" s="55"/>
    </row>
    <row r="95" spans="1:7">
      <c r="A95" s="53"/>
      <c r="B95" s="55"/>
      <c r="C95" s="55"/>
      <c r="D95" s="55"/>
      <c r="E95" s="57"/>
      <c r="F95" s="57"/>
      <c r="G95" s="55"/>
    </row>
    <row r="96" spans="1:7">
      <c r="A96" s="53"/>
      <c r="B96" s="55"/>
      <c r="C96" s="55"/>
      <c r="D96" s="55"/>
      <c r="E96" s="57"/>
      <c r="F96" s="57"/>
      <c r="G96" s="55"/>
    </row>
    <row r="97" spans="1:7">
      <c r="A97" s="53"/>
      <c r="B97" s="55"/>
      <c r="C97" s="55"/>
      <c r="D97" s="55"/>
      <c r="E97" s="57"/>
      <c r="F97" s="57"/>
      <c r="G97" s="55"/>
    </row>
    <row r="98" spans="1:7">
      <c r="A98" s="53"/>
      <c r="B98" s="55"/>
      <c r="C98" s="55"/>
      <c r="D98" s="55"/>
      <c r="E98" s="57"/>
      <c r="F98" s="57"/>
      <c r="G98" s="55"/>
    </row>
    <row r="99" spans="1:7">
      <c r="A99" s="53"/>
      <c r="B99" s="55"/>
      <c r="C99" s="55"/>
      <c r="D99" s="55"/>
      <c r="E99" s="57"/>
      <c r="F99" s="57"/>
      <c r="G99" s="5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CBCE-FC69-46B6-AF97-CD6628D71F12}">
  <dimension ref="A1:D45"/>
  <sheetViews>
    <sheetView workbookViewId="0">
      <selection activeCell="F5" sqref="F5"/>
    </sheetView>
  </sheetViews>
  <sheetFormatPr baseColWidth="10" defaultColWidth="11" defaultRowHeight="15.6"/>
  <cols>
    <col min="1" max="1" width="11.3984375" customWidth="1"/>
    <col min="2" max="2" width="13.69921875" customWidth="1"/>
    <col min="3" max="3" width="12.69921875" customWidth="1"/>
  </cols>
  <sheetData>
    <row r="1" spans="1:4">
      <c r="A1" s="45" t="s">
        <v>183</v>
      </c>
      <c r="B1" s="45" t="s">
        <v>14</v>
      </c>
      <c r="C1" s="45" t="s">
        <v>170</v>
      </c>
      <c r="D1" s="45" t="s">
        <v>171</v>
      </c>
    </row>
    <row r="2" spans="1:4">
      <c r="A2" s="46">
        <v>1</v>
      </c>
      <c r="B2" s="46">
        <v>27</v>
      </c>
      <c r="C2" s="48">
        <v>46216</v>
      </c>
      <c r="D2" s="48">
        <v>46278</v>
      </c>
    </row>
    <row r="3" spans="1:4">
      <c r="A3" s="46">
        <v>2</v>
      </c>
      <c r="B3" s="46">
        <v>27</v>
      </c>
      <c r="C3" s="48">
        <v>46349</v>
      </c>
      <c r="D3" s="48">
        <v>46446</v>
      </c>
    </row>
    <row r="4" spans="1:4">
      <c r="A4" s="46">
        <v>3</v>
      </c>
      <c r="B4" s="46">
        <v>28</v>
      </c>
      <c r="C4" s="48">
        <v>46216</v>
      </c>
      <c r="D4" s="48">
        <v>46278</v>
      </c>
    </row>
    <row r="5" spans="1:4">
      <c r="A5" s="46">
        <v>4</v>
      </c>
      <c r="B5" s="46">
        <v>28</v>
      </c>
      <c r="C5" s="48">
        <v>46349</v>
      </c>
      <c r="D5" s="48">
        <v>46446</v>
      </c>
    </row>
    <row r="6" spans="1:4">
      <c r="A6" s="46">
        <v>5</v>
      </c>
      <c r="B6" s="46">
        <v>29</v>
      </c>
      <c r="C6" s="48">
        <v>46216</v>
      </c>
      <c r="D6" s="48">
        <v>46278</v>
      </c>
    </row>
    <row r="7" spans="1:4">
      <c r="A7" s="46">
        <v>6</v>
      </c>
      <c r="B7" s="46">
        <v>29</v>
      </c>
      <c r="C7" s="48">
        <v>46349</v>
      </c>
      <c r="D7" s="48">
        <v>46446</v>
      </c>
    </row>
    <row r="8" spans="1:4">
      <c r="A8" s="46">
        <v>7</v>
      </c>
      <c r="B8" s="46">
        <v>30</v>
      </c>
      <c r="C8" s="48">
        <v>46216</v>
      </c>
      <c r="D8" s="48">
        <v>46278</v>
      </c>
    </row>
    <row r="9" spans="1:4">
      <c r="A9" s="46">
        <v>8</v>
      </c>
      <c r="B9" s="46">
        <v>30</v>
      </c>
      <c r="C9" s="48">
        <v>46349</v>
      </c>
      <c r="D9" s="48">
        <v>46446</v>
      </c>
    </row>
    <row r="10" spans="1:4">
      <c r="A10" s="46">
        <v>9</v>
      </c>
      <c r="B10" s="46">
        <v>31</v>
      </c>
      <c r="C10" s="48">
        <v>46216</v>
      </c>
      <c r="D10" s="48">
        <v>46278</v>
      </c>
    </row>
    <row r="11" spans="1:4">
      <c r="A11" s="46">
        <v>10</v>
      </c>
      <c r="B11" s="46">
        <v>31</v>
      </c>
      <c r="C11" s="48">
        <v>46349</v>
      </c>
      <c r="D11" s="48">
        <v>46446</v>
      </c>
    </row>
    <row r="12" spans="1:4">
      <c r="A12" s="46">
        <v>11</v>
      </c>
      <c r="B12" s="46">
        <v>32</v>
      </c>
      <c r="C12" s="48">
        <v>46216</v>
      </c>
      <c r="D12" s="48">
        <v>46278</v>
      </c>
    </row>
    <row r="13" spans="1:4">
      <c r="A13" s="46">
        <v>12</v>
      </c>
      <c r="B13" s="46">
        <v>32</v>
      </c>
      <c r="C13" s="48">
        <v>46349</v>
      </c>
      <c r="D13" s="48">
        <v>46446</v>
      </c>
    </row>
    <row r="14" spans="1:4">
      <c r="A14" s="46">
        <v>13</v>
      </c>
      <c r="B14" s="46">
        <v>33</v>
      </c>
      <c r="C14" s="48">
        <v>46216</v>
      </c>
      <c r="D14" s="48">
        <v>46278</v>
      </c>
    </row>
    <row r="15" spans="1:4">
      <c r="A15" s="46">
        <v>14</v>
      </c>
      <c r="B15" s="46">
        <v>33</v>
      </c>
      <c r="C15" s="48">
        <v>46349</v>
      </c>
      <c r="D15" s="48">
        <v>46446</v>
      </c>
    </row>
    <row r="16" spans="1:4">
      <c r="A16" s="46">
        <v>15</v>
      </c>
      <c r="B16" s="46">
        <v>34</v>
      </c>
      <c r="C16" s="48">
        <v>46216</v>
      </c>
      <c r="D16" s="48">
        <v>46278</v>
      </c>
    </row>
    <row r="17" spans="1:4">
      <c r="A17" s="46">
        <v>16</v>
      </c>
      <c r="B17" s="46">
        <v>34</v>
      </c>
      <c r="C17" s="48">
        <v>46349</v>
      </c>
      <c r="D17" s="48">
        <v>46446</v>
      </c>
    </row>
    <row r="18" spans="1:4">
      <c r="A18" s="46">
        <v>17</v>
      </c>
      <c r="B18" s="46">
        <v>35</v>
      </c>
      <c r="C18" s="48">
        <v>46216</v>
      </c>
      <c r="D18" s="48">
        <v>46278</v>
      </c>
    </row>
    <row r="19" spans="1:4">
      <c r="A19" s="46">
        <v>18</v>
      </c>
      <c r="B19" s="46">
        <v>35</v>
      </c>
      <c r="C19" s="48">
        <v>46349</v>
      </c>
      <c r="D19" s="48">
        <v>46446</v>
      </c>
    </row>
    <row r="20" spans="1:4">
      <c r="A20" s="46">
        <v>19</v>
      </c>
      <c r="B20" s="46">
        <v>36</v>
      </c>
      <c r="C20" s="48">
        <v>46216</v>
      </c>
      <c r="D20" s="48">
        <v>46278</v>
      </c>
    </row>
    <row r="21" spans="1:4">
      <c r="A21" s="46">
        <v>20</v>
      </c>
      <c r="B21" s="46">
        <v>36</v>
      </c>
      <c r="C21" s="48">
        <v>46349</v>
      </c>
      <c r="D21" s="48">
        <v>46446</v>
      </c>
    </row>
    <row r="22" spans="1:4">
      <c r="A22" s="46">
        <v>21</v>
      </c>
      <c r="B22" s="46">
        <v>37</v>
      </c>
      <c r="C22" s="48">
        <v>46216</v>
      </c>
      <c r="D22" s="48">
        <v>46278</v>
      </c>
    </row>
    <row r="23" spans="1:4">
      <c r="A23" s="46">
        <v>22</v>
      </c>
      <c r="B23" s="46">
        <v>37</v>
      </c>
      <c r="C23" s="48">
        <v>46349</v>
      </c>
      <c r="D23" s="48">
        <v>46446</v>
      </c>
    </row>
    <row r="24" spans="1:4">
      <c r="A24" s="46">
        <v>23</v>
      </c>
      <c r="B24" s="46">
        <v>38</v>
      </c>
      <c r="C24" s="48">
        <v>46216</v>
      </c>
      <c r="D24" s="48">
        <v>46278</v>
      </c>
    </row>
    <row r="25" spans="1:4">
      <c r="A25" s="46">
        <v>24</v>
      </c>
      <c r="B25" s="46">
        <v>38</v>
      </c>
      <c r="C25" s="48">
        <v>46349</v>
      </c>
      <c r="D25" s="48">
        <v>46446</v>
      </c>
    </row>
    <row r="26" spans="1:4">
      <c r="A26" s="46">
        <v>25</v>
      </c>
      <c r="B26" s="46">
        <v>39</v>
      </c>
      <c r="C26" s="48">
        <v>46216</v>
      </c>
      <c r="D26" s="48">
        <v>46278</v>
      </c>
    </row>
    <row r="27" spans="1:4">
      <c r="A27" s="46">
        <v>26</v>
      </c>
      <c r="B27" s="46">
        <v>39</v>
      </c>
      <c r="C27" s="48">
        <v>46349</v>
      </c>
      <c r="D27" s="48">
        <v>46446</v>
      </c>
    </row>
    <row r="28" spans="1:4">
      <c r="A28" s="46">
        <v>27</v>
      </c>
      <c r="B28" s="46">
        <v>40</v>
      </c>
      <c r="C28" s="48">
        <v>46216</v>
      </c>
      <c r="D28" s="48">
        <v>46278</v>
      </c>
    </row>
    <row r="29" spans="1:4">
      <c r="A29" s="46">
        <v>28</v>
      </c>
      <c r="B29" s="46">
        <v>40</v>
      </c>
      <c r="C29" s="48">
        <v>46349</v>
      </c>
      <c r="D29" s="48">
        <v>46446</v>
      </c>
    </row>
    <row r="30" spans="1:4">
      <c r="A30" s="46">
        <v>29</v>
      </c>
      <c r="B30" s="46">
        <v>41</v>
      </c>
      <c r="C30" s="48">
        <v>46216</v>
      </c>
      <c r="D30" s="48">
        <v>46278</v>
      </c>
    </row>
    <row r="31" spans="1:4">
      <c r="A31" s="46">
        <v>30</v>
      </c>
      <c r="B31" s="46">
        <v>41</v>
      </c>
      <c r="C31" s="48">
        <v>46349</v>
      </c>
      <c r="D31" s="48">
        <v>46446</v>
      </c>
    </row>
    <row r="32" spans="1:4">
      <c r="A32" s="46">
        <v>31</v>
      </c>
      <c r="B32" s="46">
        <v>42</v>
      </c>
      <c r="C32" s="48">
        <v>46216</v>
      </c>
      <c r="D32" s="48">
        <v>46278</v>
      </c>
    </row>
    <row r="33" spans="1:4">
      <c r="A33" s="46">
        <v>32</v>
      </c>
      <c r="B33" s="46">
        <v>42</v>
      </c>
      <c r="C33" s="48">
        <v>46349</v>
      </c>
      <c r="D33" s="48">
        <v>46446</v>
      </c>
    </row>
    <row r="34" spans="1:4">
      <c r="A34" s="46">
        <v>33</v>
      </c>
      <c r="B34" s="46">
        <v>43</v>
      </c>
      <c r="C34" s="48">
        <v>46216</v>
      </c>
      <c r="D34" s="48">
        <v>46278</v>
      </c>
    </row>
    <row r="35" spans="1:4">
      <c r="A35" s="46">
        <v>34</v>
      </c>
      <c r="B35" s="46">
        <v>43</v>
      </c>
      <c r="C35" s="48">
        <v>46349</v>
      </c>
      <c r="D35" s="48">
        <v>46446</v>
      </c>
    </row>
    <row r="36" spans="1:4">
      <c r="A36" s="46">
        <v>35</v>
      </c>
      <c r="B36" s="46">
        <v>44</v>
      </c>
      <c r="C36" s="48">
        <v>46216</v>
      </c>
      <c r="D36" s="48">
        <v>46278</v>
      </c>
    </row>
    <row r="37" spans="1:4">
      <c r="A37" s="46">
        <v>36</v>
      </c>
      <c r="B37" s="46">
        <v>44</v>
      </c>
      <c r="C37" s="48">
        <v>46349</v>
      </c>
      <c r="D37" s="48">
        <v>46446</v>
      </c>
    </row>
    <row r="38" spans="1:4">
      <c r="A38" s="46">
        <v>37</v>
      </c>
      <c r="B38" s="46">
        <v>45</v>
      </c>
      <c r="C38" s="48">
        <v>46216</v>
      </c>
      <c r="D38" s="48">
        <v>46278</v>
      </c>
    </row>
    <row r="39" spans="1:4">
      <c r="A39" s="46">
        <v>38</v>
      </c>
      <c r="B39" s="46">
        <v>45</v>
      </c>
      <c r="C39" s="48">
        <v>46349</v>
      </c>
      <c r="D39" s="48">
        <v>46446</v>
      </c>
    </row>
    <row r="40" spans="1:4">
      <c r="A40" s="46">
        <v>39</v>
      </c>
      <c r="B40" s="46">
        <v>46</v>
      </c>
      <c r="C40" s="48">
        <v>46216</v>
      </c>
      <c r="D40" s="48">
        <v>46278</v>
      </c>
    </row>
    <row r="41" spans="1:4">
      <c r="A41" s="46">
        <v>40</v>
      </c>
      <c r="B41" s="46">
        <v>46</v>
      </c>
      <c r="C41" s="48">
        <v>46349</v>
      </c>
      <c r="D41" s="48">
        <v>46446</v>
      </c>
    </row>
    <row r="42" spans="1:4">
      <c r="A42" s="46">
        <v>41</v>
      </c>
      <c r="B42" s="46">
        <v>47</v>
      </c>
      <c r="C42" s="48">
        <v>46216</v>
      </c>
      <c r="D42" s="48">
        <v>46278</v>
      </c>
    </row>
    <row r="43" spans="1:4">
      <c r="A43" s="46">
        <v>42</v>
      </c>
      <c r="B43" s="46">
        <v>47</v>
      </c>
      <c r="C43" s="48">
        <v>46349</v>
      </c>
      <c r="D43" s="48">
        <v>46446</v>
      </c>
    </row>
    <row r="44" spans="1:4">
      <c r="A44" s="46">
        <v>43</v>
      </c>
      <c r="B44" s="46">
        <v>48</v>
      </c>
      <c r="C44" s="48">
        <v>46216</v>
      </c>
      <c r="D44" s="48">
        <v>46278</v>
      </c>
    </row>
    <row r="45" spans="1:4">
      <c r="A45" s="46">
        <v>44</v>
      </c>
      <c r="B45" s="46">
        <v>48</v>
      </c>
      <c r="C45" s="48">
        <v>46349</v>
      </c>
      <c r="D45" s="48">
        <v>46446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C0C8-329B-4C32-8D35-4529AFD1A4EA}">
  <dimension ref="A1:E18"/>
  <sheetViews>
    <sheetView workbookViewId="0">
      <selection activeCell="G16" sqref="G16"/>
    </sheetView>
  </sheetViews>
  <sheetFormatPr baseColWidth="10" defaultColWidth="11" defaultRowHeight="15.6"/>
  <sheetData>
    <row r="1" spans="1:5">
      <c r="A1" t="s">
        <v>169</v>
      </c>
      <c r="B1" t="s">
        <v>184</v>
      </c>
      <c r="C1" t="s">
        <v>185</v>
      </c>
      <c r="D1" t="s">
        <v>170</v>
      </c>
      <c r="E1" t="s">
        <v>171</v>
      </c>
    </row>
    <row r="2" spans="1:5">
      <c r="A2" s="43">
        <v>1</v>
      </c>
      <c r="B2" s="43">
        <v>1</v>
      </c>
      <c r="C2" s="43" t="s">
        <v>186</v>
      </c>
      <c r="D2" s="44">
        <v>46174</v>
      </c>
      <c r="E2" s="44">
        <v>46194</v>
      </c>
    </row>
    <row r="3" spans="1:5">
      <c r="A3" s="43">
        <v>2</v>
      </c>
      <c r="B3" s="43">
        <v>2</v>
      </c>
      <c r="C3" s="43" t="s">
        <v>186</v>
      </c>
      <c r="D3" s="44">
        <v>46209</v>
      </c>
      <c r="E3" s="44">
        <v>46229</v>
      </c>
    </row>
    <row r="4" spans="1:5">
      <c r="A4" s="43">
        <v>3</v>
      </c>
      <c r="B4" s="43">
        <v>3</v>
      </c>
      <c r="C4" s="43" t="s">
        <v>186</v>
      </c>
      <c r="D4" s="44">
        <v>46230</v>
      </c>
      <c r="E4" s="44">
        <v>46250</v>
      </c>
    </row>
    <row r="5" spans="1:5">
      <c r="A5" s="43">
        <v>4</v>
      </c>
      <c r="B5" s="43">
        <v>4</v>
      </c>
      <c r="C5" s="43" t="s">
        <v>186</v>
      </c>
      <c r="D5" s="44">
        <v>46251</v>
      </c>
      <c r="E5" s="44">
        <v>46271</v>
      </c>
    </row>
    <row r="6" spans="1:5">
      <c r="A6" s="43">
        <v>5</v>
      </c>
      <c r="B6" s="43">
        <v>5</v>
      </c>
      <c r="C6" s="43" t="s">
        <v>186</v>
      </c>
      <c r="D6" s="44">
        <v>46272</v>
      </c>
      <c r="E6" s="44">
        <v>46292</v>
      </c>
    </row>
    <row r="7" spans="1:5">
      <c r="A7" s="43">
        <v>6</v>
      </c>
      <c r="B7" s="43" t="s">
        <v>174</v>
      </c>
      <c r="C7" s="43" t="s">
        <v>187</v>
      </c>
      <c r="D7" s="44">
        <v>46093</v>
      </c>
      <c r="E7" s="44">
        <v>46102</v>
      </c>
    </row>
    <row r="8" spans="1:5">
      <c r="A8" s="43">
        <v>7</v>
      </c>
      <c r="B8" s="43" t="s">
        <v>188</v>
      </c>
      <c r="C8" s="43" t="s">
        <v>187</v>
      </c>
      <c r="D8" s="44">
        <v>46072</v>
      </c>
      <c r="E8" s="44">
        <v>46081</v>
      </c>
    </row>
    <row r="9" spans="1:5">
      <c r="A9" s="43">
        <v>8</v>
      </c>
      <c r="B9" s="43" t="s">
        <v>181</v>
      </c>
      <c r="C9" s="43" t="s">
        <v>187</v>
      </c>
      <c r="D9" s="44">
        <v>46307</v>
      </c>
      <c r="E9" s="44">
        <v>46316</v>
      </c>
    </row>
    <row r="10" spans="1:5">
      <c r="A10" s="43">
        <v>9</v>
      </c>
      <c r="B10" s="43" t="s">
        <v>180</v>
      </c>
      <c r="C10" s="43" t="s">
        <v>187</v>
      </c>
      <c r="D10" s="44">
        <v>46296</v>
      </c>
      <c r="E10" s="44">
        <v>46305</v>
      </c>
    </row>
    <row r="11" spans="1:5">
      <c r="A11" s="43">
        <v>10</v>
      </c>
      <c r="B11" s="43" t="s">
        <v>176</v>
      </c>
      <c r="C11" s="43" t="s">
        <v>187</v>
      </c>
      <c r="D11" s="44">
        <v>46135</v>
      </c>
      <c r="E11" s="44">
        <v>46144</v>
      </c>
    </row>
    <row r="12" spans="1:5">
      <c r="A12" s="43">
        <v>11</v>
      </c>
      <c r="B12" s="43" t="s">
        <v>189</v>
      </c>
      <c r="C12" s="43" t="s">
        <v>187</v>
      </c>
      <c r="D12" s="44">
        <v>46317</v>
      </c>
      <c r="E12" s="44">
        <v>46326</v>
      </c>
    </row>
    <row r="13" spans="1:5">
      <c r="A13" s="43">
        <v>12</v>
      </c>
      <c r="B13" s="43" t="s">
        <v>177</v>
      </c>
      <c r="C13" s="43" t="s">
        <v>187</v>
      </c>
      <c r="D13" s="44">
        <v>46083</v>
      </c>
      <c r="E13" s="44">
        <v>46092</v>
      </c>
    </row>
    <row r="14" spans="1:5">
      <c r="A14" s="43">
        <v>13</v>
      </c>
      <c r="B14" s="43" t="s">
        <v>175</v>
      </c>
      <c r="C14" s="43" t="s">
        <v>187</v>
      </c>
      <c r="D14" s="44">
        <v>46107</v>
      </c>
      <c r="E14" s="44">
        <v>46116</v>
      </c>
    </row>
    <row r="15" spans="1:5">
      <c r="A15" s="43">
        <v>14</v>
      </c>
      <c r="B15" s="43" t="s">
        <v>182</v>
      </c>
      <c r="C15" s="43" t="s">
        <v>187</v>
      </c>
      <c r="D15" s="44">
        <v>46163</v>
      </c>
      <c r="E15" s="44">
        <v>46172</v>
      </c>
    </row>
    <row r="16" spans="1:5">
      <c r="A16" s="43">
        <v>15</v>
      </c>
      <c r="B16" s="43" t="s">
        <v>178</v>
      </c>
      <c r="C16" s="43" t="s">
        <v>187</v>
      </c>
      <c r="D16" s="44">
        <v>46119</v>
      </c>
      <c r="E16" s="44">
        <v>46128</v>
      </c>
    </row>
    <row r="17" spans="1:5">
      <c r="A17" s="43">
        <v>16</v>
      </c>
      <c r="B17" s="43" t="s">
        <v>179</v>
      </c>
      <c r="C17" s="43" t="s">
        <v>187</v>
      </c>
      <c r="D17" s="44">
        <v>46153</v>
      </c>
      <c r="E17" s="44">
        <v>46162</v>
      </c>
    </row>
    <row r="18" spans="1:5">
      <c r="A18" s="43">
        <v>17</v>
      </c>
      <c r="B18" s="43" t="s">
        <v>190</v>
      </c>
      <c r="C18" s="43" t="s">
        <v>187</v>
      </c>
      <c r="D18" s="44">
        <v>46328</v>
      </c>
      <c r="E18" s="44">
        <v>46337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A44E7-290B-4E2F-A17E-6E9103781696}">
  <dimension ref="A1:M1261"/>
  <sheetViews>
    <sheetView topLeftCell="A874" zoomScale="52" workbookViewId="0">
      <selection activeCell="D740" sqref="D740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3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3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3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3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3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3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3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3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3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  <c r="M729" s="34"/>
    </row>
    <row r="730" spans="1:13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3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3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3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3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3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3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1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1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097" si="18">SUM(B1090,D1090,F1090,H1090)</f>
        <v>284</v>
      </c>
      <c r="K1090" s="4">
        <f t="shared" si="18"/>
        <v>483</v>
      </c>
    </row>
    <row r="1091" spans="1:11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1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1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1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</row>
    <row r="1095" spans="1:11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1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1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1">
      <c r="A1098" s="1"/>
      <c r="B1098" s="4"/>
      <c r="C1098" s="4"/>
      <c r="D1098" s="4"/>
      <c r="E1098" s="4"/>
      <c r="F1098" s="4"/>
      <c r="G1098" s="4"/>
      <c r="H1098" s="4"/>
      <c r="I1098" s="4"/>
      <c r="J1098" s="4"/>
      <c r="K1098" s="4"/>
    </row>
    <row r="1099" spans="1:11">
      <c r="A1099" s="1"/>
      <c r="B1099" s="4"/>
      <c r="C1099" s="4"/>
      <c r="D1099" s="4"/>
      <c r="E1099" s="4"/>
      <c r="F1099" s="4"/>
      <c r="G1099" s="4"/>
      <c r="H1099" s="4"/>
      <c r="I1099" s="4"/>
      <c r="J1099" s="4"/>
      <c r="K1099" s="4"/>
    </row>
    <row r="1100" spans="1:11">
      <c r="A1100" s="1"/>
      <c r="B1100" s="4"/>
      <c r="C1100" s="4"/>
      <c r="D1100" s="4"/>
      <c r="E1100" s="4"/>
      <c r="F1100" s="4"/>
      <c r="G1100" s="4"/>
      <c r="H1100" s="4"/>
      <c r="I1100" s="4"/>
      <c r="J1100" s="4"/>
      <c r="K1100" s="4"/>
    </row>
    <row r="1101" spans="1:11">
      <c r="A1101" s="1"/>
      <c r="B1101" s="4"/>
      <c r="C1101" s="4"/>
      <c r="D1101" s="4"/>
      <c r="E1101" s="4"/>
      <c r="F1101" s="4"/>
      <c r="G1101" s="4"/>
      <c r="H1101" s="4"/>
      <c r="I1101" s="4"/>
      <c r="J1101" s="4"/>
      <c r="K1101" s="4"/>
    </row>
    <row r="1102" spans="1:11">
      <c r="A1102" s="1"/>
      <c r="B1102" s="4"/>
      <c r="C1102" s="4"/>
      <c r="D1102" s="4"/>
      <c r="E1102" s="4"/>
      <c r="F1102" s="4"/>
      <c r="G1102" s="4"/>
      <c r="H1102" s="4"/>
      <c r="I1102" s="4"/>
      <c r="J1102" s="4"/>
      <c r="K1102" s="4"/>
    </row>
    <row r="1103" spans="1:11">
      <c r="A1103" s="1"/>
      <c r="B1103" s="4"/>
      <c r="C1103" s="4"/>
      <c r="D1103" s="4"/>
      <c r="E1103" s="4"/>
      <c r="F1103" s="4"/>
      <c r="G1103" s="4"/>
      <c r="H1103" s="4"/>
      <c r="I1103" s="4"/>
      <c r="J1103" s="4"/>
      <c r="K1103" s="4"/>
    </row>
    <row r="1104" spans="1:11">
      <c r="A1104" s="1"/>
      <c r="B1104" s="4"/>
      <c r="C1104" s="4"/>
      <c r="D1104" s="4"/>
      <c r="E1104" s="4"/>
      <c r="F1104" s="4"/>
      <c r="G1104" s="4"/>
      <c r="H1104" s="4"/>
      <c r="I1104" s="4"/>
      <c r="J1104" s="4"/>
      <c r="K1104" s="4"/>
    </row>
    <row r="1105" spans="1:11">
      <c r="A1105" s="1"/>
      <c r="B1105" s="4"/>
      <c r="C1105" s="4"/>
      <c r="D1105" s="4"/>
      <c r="E1105" s="4"/>
      <c r="F1105" s="4"/>
      <c r="G1105" s="4"/>
      <c r="H1105" s="4"/>
      <c r="I1105" s="4"/>
      <c r="J1105" s="4"/>
      <c r="K1105" s="4"/>
    </row>
    <row r="1106" spans="1:11">
      <c r="A1106" s="1"/>
      <c r="B1106" s="4"/>
      <c r="C1106" s="4"/>
      <c r="D1106" s="4"/>
      <c r="E1106" s="4"/>
      <c r="F1106" s="4"/>
      <c r="G1106" s="4"/>
      <c r="H1106" s="4"/>
      <c r="I1106" s="4"/>
      <c r="J1106" s="4"/>
      <c r="K1106" s="4"/>
    </row>
    <row r="1107" spans="1:11">
      <c r="A1107" s="1"/>
      <c r="B1107" s="4"/>
      <c r="C1107" s="4"/>
      <c r="D1107" s="4"/>
      <c r="E1107" s="4"/>
      <c r="F1107" s="4"/>
      <c r="G1107" s="4"/>
      <c r="H1107" s="4"/>
      <c r="I1107" s="4"/>
      <c r="J1107" s="4"/>
      <c r="K1107" s="4"/>
    </row>
    <row r="1108" spans="1:11">
      <c r="A1108" s="1"/>
      <c r="B1108" s="4"/>
      <c r="C1108" s="4"/>
      <c r="D1108" s="4"/>
      <c r="E1108" s="4"/>
      <c r="F1108" s="4"/>
      <c r="G1108" s="4"/>
      <c r="H1108" s="4"/>
      <c r="I1108" s="4"/>
      <c r="J1108" s="4"/>
      <c r="K1108" s="4"/>
    </row>
    <row r="1109" spans="1:11">
      <c r="A1109" s="1"/>
      <c r="B1109" s="4"/>
      <c r="C1109" s="4"/>
      <c r="D1109" s="4"/>
      <c r="E1109" s="4"/>
      <c r="F1109" s="4"/>
      <c r="G1109" s="4"/>
      <c r="H1109" s="4"/>
      <c r="I1109" s="4"/>
      <c r="J1109" s="4"/>
      <c r="K1109" s="4"/>
    </row>
    <row r="1110" spans="1:11">
      <c r="A1110" s="1"/>
      <c r="B1110" s="4"/>
      <c r="C1110" s="4"/>
      <c r="D1110" s="4"/>
      <c r="E1110" s="4"/>
      <c r="F1110" s="4"/>
      <c r="G1110" s="4"/>
      <c r="H1110" s="4"/>
      <c r="I1110" s="4"/>
      <c r="J1110" s="4"/>
      <c r="K1110" s="4"/>
    </row>
    <row r="1111" spans="1:11">
      <c r="A1111" s="1"/>
      <c r="B1111" s="4"/>
      <c r="C1111" s="4"/>
      <c r="D1111" s="4"/>
      <c r="E1111" s="4"/>
      <c r="F1111" s="4"/>
      <c r="G1111" s="4"/>
      <c r="H1111" s="4"/>
      <c r="I1111" s="4"/>
      <c r="J1111" s="4"/>
      <c r="K1111" s="4"/>
    </row>
    <row r="1112" spans="1:11">
      <c r="A1112" s="1"/>
      <c r="B1112" s="4"/>
      <c r="C1112" s="4"/>
      <c r="D1112" s="4"/>
      <c r="E1112" s="4"/>
      <c r="F1112" s="4"/>
      <c r="G1112" s="4"/>
      <c r="H1112" s="4"/>
      <c r="I1112" s="4"/>
      <c r="J1112" s="4"/>
      <c r="K1112" s="4"/>
    </row>
    <row r="1113" spans="1:11">
      <c r="A1113" s="1"/>
      <c r="B1113" s="4"/>
      <c r="C1113" s="4"/>
      <c r="D1113" s="4"/>
      <c r="E1113" s="4"/>
      <c r="F1113" s="4"/>
      <c r="G1113" s="4"/>
      <c r="H1113" s="4"/>
      <c r="I1113" s="4"/>
      <c r="J1113" s="4"/>
      <c r="K1113" s="4"/>
    </row>
    <row r="1114" spans="1:11">
      <c r="A1114" s="1"/>
      <c r="B1114" s="4"/>
      <c r="C1114" s="4"/>
      <c r="D1114" s="4"/>
      <c r="E1114" s="4"/>
      <c r="F1114" s="4"/>
      <c r="G1114" s="4"/>
      <c r="H1114" s="4"/>
      <c r="I1114" s="4"/>
      <c r="J1114" s="4"/>
      <c r="K1114" s="4"/>
    </row>
    <row r="1115" spans="1:11">
      <c r="A1115" s="1"/>
      <c r="B1115" s="4"/>
      <c r="C1115" s="4"/>
      <c r="D1115" s="4"/>
      <c r="E1115" s="4"/>
      <c r="F1115" s="4"/>
      <c r="G1115" s="4"/>
      <c r="H1115" s="4"/>
      <c r="I1115" s="4"/>
      <c r="J1115" s="4"/>
      <c r="K1115" s="4"/>
    </row>
    <row r="1116" spans="1:11">
      <c r="A1116" s="1"/>
      <c r="B1116" s="4"/>
      <c r="C1116" s="4"/>
      <c r="D1116" s="4"/>
      <c r="E1116" s="4"/>
      <c r="F1116" s="4"/>
      <c r="G1116" s="4"/>
      <c r="H1116" s="4"/>
      <c r="I1116" s="4"/>
      <c r="J1116" s="4"/>
      <c r="K1116" s="4"/>
    </row>
    <row r="1117" spans="1:11">
      <c r="A1117" s="1"/>
      <c r="B1117" s="4"/>
      <c r="C1117" s="4"/>
      <c r="D1117" s="4"/>
      <c r="E1117" s="4"/>
      <c r="F1117" s="4"/>
      <c r="G1117" s="4"/>
      <c r="H1117" s="4"/>
      <c r="I1117" s="4"/>
      <c r="J1117" s="4"/>
      <c r="K1117" s="4"/>
    </row>
    <row r="1118" spans="1:11">
      <c r="A1118" s="1"/>
      <c r="B1118" s="4"/>
      <c r="C1118" s="4"/>
      <c r="D1118" s="4"/>
      <c r="E1118" s="4"/>
      <c r="F1118" s="4"/>
      <c r="G1118" s="4"/>
      <c r="H1118" s="4"/>
      <c r="I1118" s="4"/>
      <c r="J1118" s="4"/>
      <c r="K1118" s="4"/>
    </row>
    <row r="1119" spans="1:11">
      <c r="A1119" s="1"/>
      <c r="B1119" s="4"/>
      <c r="C1119" s="4"/>
      <c r="D1119" s="4"/>
      <c r="E1119" s="4"/>
      <c r="F1119" s="4"/>
      <c r="G1119" s="4"/>
      <c r="H1119" s="4"/>
      <c r="I1119" s="4"/>
      <c r="J1119" s="4"/>
      <c r="K1119" s="4"/>
    </row>
    <row r="1120" spans="1:11">
      <c r="A1120" s="1"/>
      <c r="B1120" s="4"/>
      <c r="C1120" s="4"/>
      <c r="D1120" s="4"/>
      <c r="E1120" s="4"/>
      <c r="F1120" s="4"/>
      <c r="G1120" s="4"/>
      <c r="H1120" s="4"/>
      <c r="I1120" s="4"/>
      <c r="J1120" s="4"/>
      <c r="K1120" s="4"/>
    </row>
    <row r="1121" spans="1:11">
      <c r="A1121" s="1"/>
      <c r="B1121" s="4"/>
      <c r="C1121" s="4"/>
      <c r="D1121" s="4"/>
      <c r="E1121" s="4"/>
      <c r="F1121" s="4"/>
      <c r="G1121" s="4"/>
      <c r="H1121" s="4"/>
      <c r="I1121" s="4"/>
      <c r="J1121" s="4"/>
      <c r="K1121" s="4"/>
    </row>
    <row r="1122" spans="1:11">
      <c r="A1122" s="1"/>
      <c r="B1122" s="4"/>
      <c r="C1122" s="4"/>
      <c r="D1122" s="4"/>
      <c r="E1122" s="4"/>
      <c r="F1122" s="4"/>
      <c r="G1122" s="4"/>
      <c r="H1122" s="4"/>
      <c r="I1122" s="4"/>
      <c r="J1122" s="4"/>
      <c r="K1122" s="4"/>
    </row>
    <row r="1123" spans="1:11">
      <c r="A1123" s="1"/>
      <c r="B1123" s="4"/>
      <c r="C1123" s="4"/>
      <c r="D1123" s="4"/>
      <c r="E1123" s="4"/>
      <c r="F1123" s="4"/>
      <c r="G1123" s="4"/>
      <c r="H1123" s="4"/>
      <c r="I1123" s="4"/>
      <c r="J1123" s="4"/>
      <c r="K1123" s="4"/>
    </row>
    <row r="1124" spans="1:11">
      <c r="A1124" s="1"/>
      <c r="B1124" s="4"/>
      <c r="C1124" s="4"/>
      <c r="D1124" s="4"/>
      <c r="E1124" s="4"/>
      <c r="F1124" s="4"/>
      <c r="G1124" s="4"/>
      <c r="H1124" s="4"/>
      <c r="I1124" s="4"/>
      <c r="J1124" s="4"/>
      <c r="K1124" s="4"/>
    </row>
    <row r="1125" spans="1:11">
      <c r="A1125" s="1"/>
      <c r="B1125" s="4"/>
      <c r="C1125" s="4"/>
      <c r="D1125" s="4"/>
      <c r="E1125" s="4"/>
      <c r="F1125" s="4"/>
      <c r="G1125" s="4"/>
      <c r="H1125" s="4"/>
      <c r="I1125" s="4"/>
      <c r="J1125" s="4"/>
      <c r="K1125" s="4"/>
    </row>
    <row r="1126" spans="1:11">
      <c r="A1126" s="1"/>
      <c r="B1126" s="4"/>
      <c r="C1126" s="4"/>
      <c r="D1126" s="4"/>
      <c r="E1126" s="4"/>
      <c r="F1126" s="4"/>
      <c r="G1126" s="4"/>
      <c r="H1126" s="4"/>
      <c r="I1126" s="4"/>
      <c r="J1126" s="4"/>
      <c r="K1126" s="4"/>
    </row>
    <row r="1127" spans="1:11">
      <c r="A1127" s="1"/>
      <c r="B1127" s="4"/>
      <c r="C1127" s="4"/>
      <c r="D1127" s="4"/>
      <c r="E1127" s="4"/>
      <c r="F1127" s="4"/>
      <c r="G1127" s="4"/>
      <c r="H1127" s="4"/>
      <c r="I1127" s="4"/>
      <c r="J1127" s="4"/>
      <c r="K1127" s="4"/>
    </row>
    <row r="1128" spans="1:11">
      <c r="A1128" s="1"/>
      <c r="B1128" s="4"/>
      <c r="C1128" s="4"/>
      <c r="D1128" s="4"/>
      <c r="E1128" s="4"/>
      <c r="F1128" s="4"/>
      <c r="G1128" s="4"/>
      <c r="H1128" s="4"/>
      <c r="I1128" s="4"/>
      <c r="J1128" s="4"/>
      <c r="K1128" s="4"/>
    </row>
    <row r="1129" spans="1:11">
      <c r="A1129" s="1"/>
      <c r="B1129" s="4"/>
      <c r="C1129" s="4"/>
      <c r="D1129" s="4"/>
      <c r="E1129" s="4"/>
      <c r="F1129" s="4"/>
      <c r="G1129" s="4"/>
      <c r="H1129" s="4"/>
      <c r="I1129" s="4"/>
      <c r="J1129" s="4"/>
      <c r="K1129" s="4"/>
    </row>
    <row r="1130" spans="1:11">
      <c r="A1130" s="1"/>
      <c r="B1130" s="4"/>
      <c r="C1130" s="4"/>
      <c r="D1130" s="4"/>
      <c r="E1130" s="4"/>
      <c r="F1130" s="4"/>
      <c r="G1130" s="4"/>
      <c r="H1130" s="4"/>
      <c r="I1130" s="4"/>
      <c r="J1130" s="4"/>
      <c r="K1130" s="4"/>
    </row>
    <row r="1131" spans="1:11">
      <c r="A1131" s="1"/>
      <c r="B1131" s="4"/>
      <c r="C1131" s="4"/>
      <c r="D1131" s="4"/>
      <c r="E1131" s="4"/>
      <c r="F1131" s="4"/>
      <c r="G1131" s="4"/>
      <c r="H1131" s="4"/>
      <c r="I1131" s="4"/>
      <c r="J1131" s="4"/>
      <c r="K1131" s="4"/>
    </row>
    <row r="1132" spans="1:11">
      <c r="A1132" s="1"/>
      <c r="B1132" s="4"/>
      <c r="C1132" s="4"/>
      <c r="D1132" s="4"/>
      <c r="E1132" s="4"/>
      <c r="F1132" s="4"/>
      <c r="G1132" s="4"/>
      <c r="H1132" s="4"/>
      <c r="I1132" s="4"/>
      <c r="J1132" s="4"/>
      <c r="K1132" s="4"/>
    </row>
    <row r="1133" spans="1:11">
      <c r="A1133" s="1"/>
      <c r="B1133" s="4"/>
      <c r="C1133" s="4"/>
      <c r="D1133" s="4"/>
      <c r="E1133" s="4"/>
      <c r="F1133" s="4"/>
      <c r="G1133" s="4"/>
      <c r="H1133" s="4"/>
      <c r="I1133" s="4"/>
      <c r="J1133" s="4"/>
      <c r="K1133" s="4"/>
    </row>
    <row r="1134" spans="1:11">
      <c r="A1134" s="1"/>
      <c r="B1134" s="4"/>
      <c r="C1134" s="4"/>
      <c r="D1134" s="4"/>
      <c r="E1134" s="4"/>
      <c r="F1134" s="4"/>
      <c r="G1134" s="4"/>
      <c r="H1134" s="4"/>
      <c r="I1134" s="4"/>
      <c r="J1134" s="4"/>
      <c r="K1134" s="4"/>
    </row>
    <row r="1135" spans="1:11">
      <c r="A1135" s="1"/>
      <c r="B1135" s="4"/>
      <c r="C1135" s="4"/>
      <c r="D1135" s="4"/>
      <c r="E1135" s="4"/>
      <c r="F1135" s="4"/>
      <c r="G1135" s="4"/>
      <c r="H1135" s="4"/>
      <c r="I1135" s="4"/>
      <c r="J1135" s="4"/>
      <c r="K1135" s="4"/>
    </row>
    <row r="1136" spans="1:11">
      <c r="A1136" s="1"/>
      <c r="B1136" s="4"/>
      <c r="C1136" s="4"/>
      <c r="D1136" s="4"/>
      <c r="E1136" s="4"/>
      <c r="F1136" s="4"/>
      <c r="G1136" s="4"/>
      <c r="H1136" s="4"/>
      <c r="I1136" s="4"/>
      <c r="J1136" s="4"/>
      <c r="K1136" s="4"/>
    </row>
    <row r="1137" spans="1:11">
      <c r="A1137" s="1"/>
      <c r="B1137" s="4"/>
      <c r="C1137" s="4"/>
      <c r="D1137" s="4"/>
      <c r="E1137" s="4"/>
      <c r="F1137" s="4"/>
      <c r="G1137" s="4"/>
      <c r="H1137" s="4"/>
      <c r="I1137" s="4"/>
      <c r="J1137" s="4"/>
      <c r="K1137" s="4"/>
    </row>
    <row r="1138" spans="1:11">
      <c r="A1138" s="1"/>
      <c r="B1138" s="4"/>
      <c r="C1138" s="4"/>
      <c r="D1138" s="4"/>
      <c r="E1138" s="4"/>
      <c r="F1138" s="4"/>
      <c r="G1138" s="4"/>
      <c r="H1138" s="4"/>
      <c r="I1138" s="4"/>
      <c r="J1138" s="4"/>
      <c r="K1138" s="4"/>
    </row>
    <row r="1139" spans="1:11">
      <c r="A1139" s="1"/>
      <c r="B1139" s="4"/>
      <c r="C1139" s="4"/>
      <c r="D1139" s="4"/>
      <c r="E1139" s="4"/>
      <c r="F1139" s="4"/>
      <c r="G1139" s="4"/>
      <c r="H1139" s="4"/>
      <c r="I1139" s="4"/>
      <c r="J1139" s="4"/>
      <c r="K1139" s="4"/>
    </row>
    <row r="1140" spans="1:11">
      <c r="A1140" s="1"/>
      <c r="B1140" s="4"/>
      <c r="C1140" s="4"/>
      <c r="D1140" s="4"/>
      <c r="E1140" s="4"/>
      <c r="F1140" s="4"/>
      <c r="G1140" s="4"/>
      <c r="H1140" s="4"/>
      <c r="I1140" s="4"/>
      <c r="J1140" s="4"/>
      <c r="K1140" s="4"/>
    </row>
    <row r="1141" spans="1:11">
      <c r="A1141" s="1"/>
      <c r="B1141" s="4"/>
      <c r="C1141" s="4"/>
      <c r="D1141" s="4"/>
      <c r="E1141" s="4"/>
      <c r="F1141" s="4"/>
      <c r="G1141" s="4"/>
      <c r="H1141" s="4"/>
      <c r="I1141" s="4"/>
      <c r="J1141" s="4"/>
      <c r="K1141" s="4"/>
    </row>
    <row r="1142" spans="1:11">
      <c r="A1142" s="1"/>
      <c r="B1142" s="4"/>
      <c r="C1142" s="4"/>
      <c r="D1142" s="4"/>
      <c r="E1142" s="4"/>
      <c r="F1142" s="4"/>
      <c r="G1142" s="4"/>
      <c r="H1142" s="4"/>
      <c r="I1142" s="4"/>
      <c r="J1142" s="4"/>
      <c r="K1142" s="4"/>
    </row>
    <row r="1143" spans="1:11">
      <c r="A1143" s="1"/>
      <c r="B1143" s="4"/>
      <c r="C1143" s="4"/>
      <c r="D1143" s="4"/>
      <c r="E1143" s="4"/>
      <c r="F1143" s="4"/>
      <c r="G1143" s="4"/>
      <c r="H1143" s="4"/>
      <c r="I1143" s="4"/>
      <c r="J1143" s="4"/>
      <c r="K1143" s="4"/>
    </row>
    <row r="1144" spans="1:11">
      <c r="A1144" s="1"/>
      <c r="B1144" s="4"/>
      <c r="C1144" s="4"/>
      <c r="D1144" s="4"/>
      <c r="E1144" s="4"/>
      <c r="F1144" s="4"/>
      <c r="G1144" s="4"/>
      <c r="H1144" s="4"/>
      <c r="I1144" s="4"/>
      <c r="J1144" s="4"/>
      <c r="K1144" s="4"/>
    </row>
    <row r="1145" spans="1:11">
      <c r="A1145" s="1"/>
      <c r="B1145" s="4"/>
      <c r="C1145" s="4"/>
      <c r="D1145" s="4"/>
      <c r="E1145" s="4"/>
      <c r="F1145" s="4"/>
      <c r="G1145" s="4"/>
      <c r="H1145" s="4"/>
      <c r="I1145" s="4"/>
      <c r="J1145" s="4"/>
      <c r="K1145" s="4"/>
    </row>
    <row r="1146" spans="1:11">
      <c r="A1146" s="1"/>
      <c r="B1146" s="4"/>
      <c r="C1146" s="4"/>
      <c r="D1146" s="4"/>
      <c r="E1146" s="4"/>
      <c r="F1146" s="4"/>
      <c r="G1146" s="4"/>
      <c r="H1146" s="4"/>
      <c r="I1146" s="4"/>
      <c r="J1146" s="4"/>
      <c r="K1146" s="4"/>
    </row>
    <row r="1147" spans="1:11">
      <c r="A1147" s="1"/>
      <c r="B1147" s="4"/>
      <c r="C1147" s="4"/>
      <c r="D1147" s="4"/>
      <c r="E1147" s="4"/>
      <c r="F1147" s="4"/>
      <c r="G1147" s="4"/>
      <c r="H1147" s="4"/>
      <c r="I1147" s="4"/>
      <c r="J1147" s="4"/>
      <c r="K1147" s="4"/>
    </row>
    <row r="1148" spans="1:11">
      <c r="A1148" s="1"/>
      <c r="B1148" s="4"/>
      <c r="C1148" s="4"/>
      <c r="D1148" s="4"/>
      <c r="E1148" s="4"/>
      <c r="F1148" s="4"/>
      <c r="G1148" s="4"/>
      <c r="H1148" s="4"/>
      <c r="I1148" s="4"/>
      <c r="J1148" s="4"/>
      <c r="K1148" s="4"/>
    </row>
    <row r="1149" spans="1:11">
      <c r="A1149" s="1"/>
      <c r="B1149" s="4"/>
      <c r="C1149" s="4"/>
      <c r="D1149" s="4"/>
      <c r="E1149" s="4"/>
      <c r="F1149" s="4"/>
      <c r="G1149" s="4"/>
      <c r="H1149" s="4"/>
      <c r="I1149" s="4"/>
      <c r="J1149" s="4"/>
      <c r="K1149" s="4"/>
    </row>
    <row r="1150" spans="1:11">
      <c r="A1150" s="1"/>
      <c r="B1150" s="4"/>
      <c r="C1150" s="4"/>
      <c r="D1150" s="4"/>
      <c r="E1150" s="4"/>
      <c r="F1150" s="4"/>
      <c r="G1150" s="4"/>
      <c r="H1150" s="4"/>
      <c r="I1150" s="4"/>
      <c r="J1150" s="4"/>
      <c r="K1150" s="4"/>
    </row>
    <row r="1151" spans="1:11">
      <c r="A1151" s="1"/>
      <c r="B1151" s="4"/>
      <c r="C1151" s="4"/>
      <c r="D1151" s="4"/>
      <c r="E1151" s="4"/>
      <c r="F1151" s="4"/>
      <c r="G1151" s="4"/>
      <c r="H1151" s="4"/>
      <c r="I1151" s="4"/>
      <c r="J1151" s="4"/>
      <c r="K1151" s="4"/>
    </row>
    <row r="1152" spans="1:11">
      <c r="A1152" s="1"/>
      <c r="B1152" s="4"/>
      <c r="C1152" s="4"/>
      <c r="D1152" s="4"/>
      <c r="E1152" s="4"/>
      <c r="F1152" s="4"/>
      <c r="G1152" s="4"/>
      <c r="H1152" s="4"/>
      <c r="I1152" s="4"/>
      <c r="J1152" s="4"/>
      <c r="K1152" s="4"/>
    </row>
    <row r="1153" spans="1:11">
      <c r="A1153" s="1"/>
      <c r="B1153" s="4"/>
      <c r="C1153" s="4"/>
      <c r="D1153" s="4"/>
      <c r="E1153" s="4"/>
      <c r="F1153" s="4"/>
      <c r="G1153" s="4"/>
      <c r="H1153" s="4"/>
      <c r="I1153" s="4"/>
      <c r="J1153" s="4"/>
      <c r="K1153" s="4"/>
    </row>
    <row r="1154" spans="1:11">
      <c r="A1154" s="1"/>
      <c r="B1154" s="4"/>
      <c r="C1154" s="4"/>
      <c r="D1154" s="4"/>
      <c r="E1154" s="4"/>
      <c r="F1154" s="4"/>
      <c r="G1154" s="4"/>
      <c r="H1154" s="4"/>
      <c r="I1154" s="4"/>
      <c r="J1154" s="4"/>
      <c r="K1154" s="4"/>
    </row>
    <row r="1155" spans="1:11">
      <c r="A1155" s="1"/>
      <c r="B1155" s="4"/>
      <c r="C1155" s="4"/>
      <c r="D1155" s="4"/>
      <c r="E1155" s="4"/>
      <c r="F1155" s="4"/>
      <c r="G1155" s="4"/>
      <c r="H1155" s="4"/>
      <c r="I1155" s="4"/>
      <c r="J1155" s="4"/>
      <c r="K1155" s="4"/>
    </row>
    <row r="1156" spans="1:11">
      <c r="A1156" s="1"/>
      <c r="B1156" s="4"/>
      <c r="C1156" s="4"/>
      <c r="D1156" s="4"/>
      <c r="E1156" s="4"/>
      <c r="F1156" s="4"/>
      <c r="G1156" s="4"/>
      <c r="H1156" s="4"/>
      <c r="I1156" s="4"/>
      <c r="J1156" s="4"/>
      <c r="K1156" s="4"/>
    </row>
    <row r="1157" spans="1:11">
      <c r="A1157" s="1"/>
      <c r="B1157" s="4"/>
      <c r="C1157" s="4"/>
      <c r="D1157" s="4"/>
      <c r="E1157" s="4"/>
      <c r="F1157" s="4"/>
      <c r="G1157" s="4"/>
      <c r="H1157" s="4"/>
      <c r="I1157" s="4"/>
      <c r="J1157" s="4"/>
      <c r="K1157" s="4"/>
    </row>
    <row r="1158" spans="1:11">
      <c r="A1158" s="1"/>
      <c r="B1158" s="4"/>
      <c r="C1158" s="4"/>
      <c r="D1158" s="4"/>
      <c r="E1158" s="4"/>
      <c r="F1158" s="4"/>
      <c r="G1158" s="4"/>
      <c r="H1158" s="4"/>
      <c r="I1158" s="4"/>
      <c r="J1158" s="4"/>
      <c r="K1158" s="4"/>
    </row>
    <row r="1159" spans="1:11">
      <c r="A1159" s="1"/>
      <c r="B1159" s="4"/>
      <c r="C1159" s="4"/>
      <c r="D1159" s="4"/>
      <c r="E1159" s="4"/>
      <c r="F1159" s="4"/>
      <c r="G1159" s="4"/>
      <c r="H1159" s="4"/>
      <c r="I1159" s="4"/>
      <c r="J1159" s="4"/>
      <c r="K1159" s="4"/>
    </row>
    <row r="1160" spans="1:11">
      <c r="A1160" s="1"/>
      <c r="B1160" s="4"/>
      <c r="C1160" s="4"/>
      <c r="D1160" s="4"/>
      <c r="E1160" s="4"/>
      <c r="F1160" s="4"/>
      <c r="G1160" s="4"/>
      <c r="H1160" s="4"/>
      <c r="I1160" s="4"/>
      <c r="J1160" s="4"/>
      <c r="K1160" s="4"/>
    </row>
    <row r="1161" spans="1:11">
      <c r="A1161" s="1"/>
      <c r="B1161" s="4"/>
      <c r="C1161" s="4"/>
      <c r="D1161" s="4"/>
      <c r="E1161" s="4"/>
      <c r="F1161" s="4"/>
      <c r="G1161" s="4"/>
      <c r="H1161" s="4"/>
      <c r="I1161" s="4"/>
      <c r="J1161" s="4"/>
      <c r="K1161" s="4"/>
    </row>
    <row r="1162" spans="1:11">
      <c r="A1162" s="1"/>
      <c r="B1162" s="4"/>
      <c r="C1162" s="4"/>
      <c r="D1162" s="4"/>
      <c r="E1162" s="4"/>
      <c r="F1162" s="4"/>
      <c r="G1162" s="4"/>
      <c r="H1162" s="4"/>
      <c r="I1162" s="4"/>
      <c r="J1162" s="4"/>
      <c r="K1162" s="4"/>
    </row>
    <row r="1163" spans="1:11">
      <c r="A1163" s="1"/>
      <c r="B1163" s="4"/>
      <c r="C1163" s="4"/>
      <c r="D1163" s="4"/>
      <c r="E1163" s="4"/>
      <c r="F1163" s="4"/>
      <c r="G1163" s="4"/>
      <c r="H1163" s="4"/>
      <c r="I1163" s="4"/>
      <c r="J1163" s="4"/>
      <c r="K1163" s="4"/>
    </row>
    <row r="1164" spans="1:11">
      <c r="A1164" s="1"/>
      <c r="B1164" s="4"/>
      <c r="C1164" s="4"/>
      <c r="D1164" s="4"/>
      <c r="E1164" s="4"/>
      <c r="F1164" s="4"/>
      <c r="G1164" s="4"/>
      <c r="H1164" s="4"/>
      <c r="I1164" s="4"/>
      <c r="J1164" s="4"/>
      <c r="K1164" s="4"/>
    </row>
    <row r="1165" spans="1:11">
      <c r="A1165" s="1"/>
      <c r="B1165" s="4"/>
      <c r="C1165" s="4"/>
      <c r="D1165" s="4"/>
      <c r="E1165" s="4"/>
      <c r="F1165" s="4"/>
      <c r="G1165" s="4"/>
      <c r="H1165" s="4"/>
      <c r="I1165" s="4"/>
      <c r="J1165" s="4"/>
      <c r="K1165" s="4"/>
    </row>
    <row r="1166" spans="1:11">
      <c r="A1166" s="1"/>
      <c r="B1166" s="4"/>
      <c r="C1166" s="4"/>
      <c r="D1166" s="4"/>
      <c r="E1166" s="4"/>
      <c r="F1166" s="4"/>
      <c r="G1166" s="4"/>
      <c r="H1166" s="4"/>
      <c r="I1166" s="4"/>
      <c r="J1166" s="4"/>
      <c r="K1166" s="4"/>
    </row>
    <row r="1167" spans="1:11">
      <c r="A1167" s="1"/>
      <c r="B1167" s="4"/>
      <c r="C1167" s="4"/>
      <c r="D1167" s="4"/>
      <c r="E1167" s="4"/>
      <c r="F1167" s="4"/>
      <c r="G1167" s="4"/>
      <c r="H1167" s="4"/>
      <c r="I1167" s="4"/>
      <c r="J1167" s="4"/>
      <c r="K1167" s="4"/>
    </row>
    <row r="1168" spans="1:11">
      <c r="A1168" s="1"/>
      <c r="B1168" s="4"/>
      <c r="C1168" s="4"/>
      <c r="D1168" s="4"/>
      <c r="E1168" s="4"/>
      <c r="F1168" s="4"/>
      <c r="G1168" s="4"/>
      <c r="H1168" s="4"/>
      <c r="I1168" s="4"/>
      <c r="J1168" s="4"/>
      <c r="K1168" s="4"/>
    </row>
    <row r="1169" spans="1:11">
      <c r="A1169" s="1"/>
      <c r="B1169" s="4"/>
      <c r="C1169" s="4"/>
      <c r="D1169" s="4"/>
      <c r="E1169" s="4"/>
      <c r="F1169" s="4"/>
      <c r="G1169" s="4"/>
      <c r="H1169" s="4"/>
      <c r="I1169" s="4"/>
      <c r="J1169" s="4"/>
      <c r="K1169" s="4"/>
    </row>
    <row r="1170" spans="1:11">
      <c r="A1170" s="1"/>
      <c r="B1170" s="4"/>
      <c r="C1170" s="4"/>
      <c r="D1170" s="4"/>
      <c r="E1170" s="4"/>
      <c r="F1170" s="4"/>
      <c r="G1170" s="4"/>
      <c r="H1170" s="4"/>
      <c r="I1170" s="4"/>
      <c r="J1170" s="4"/>
      <c r="K1170" s="4"/>
    </row>
    <row r="1171" spans="1:11">
      <c r="A1171" s="1"/>
      <c r="B1171" s="4"/>
      <c r="C1171" s="4"/>
      <c r="D1171" s="4"/>
      <c r="E1171" s="4"/>
      <c r="F1171" s="4"/>
      <c r="G1171" s="4"/>
      <c r="H1171" s="4"/>
      <c r="I1171" s="4"/>
      <c r="J1171" s="4"/>
      <c r="K1171" s="4"/>
    </row>
    <row r="1172" spans="1:11">
      <c r="A1172" s="1"/>
      <c r="B1172" s="4"/>
      <c r="C1172" s="4"/>
      <c r="D1172" s="4"/>
      <c r="E1172" s="4"/>
      <c r="F1172" s="4"/>
      <c r="G1172" s="4"/>
      <c r="H1172" s="4"/>
      <c r="I1172" s="4"/>
      <c r="J1172" s="4"/>
      <c r="K1172" s="4"/>
    </row>
    <row r="1173" spans="1:11">
      <c r="A1173" s="1"/>
      <c r="B1173" s="4"/>
      <c r="C1173" s="4"/>
      <c r="D1173" s="4"/>
      <c r="E1173" s="4"/>
      <c r="F1173" s="4"/>
      <c r="G1173" s="4"/>
      <c r="H1173" s="4"/>
      <c r="I1173" s="4"/>
      <c r="J1173" s="4"/>
      <c r="K1173" s="4"/>
    </row>
    <row r="1174" spans="1:11">
      <c r="A1174" s="1"/>
      <c r="B1174" s="4"/>
      <c r="C1174" s="4"/>
      <c r="D1174" s="4"/>
      <c r="E1174" s="4"/>
      <c r="F1174" s="4"/>
      <c r="G1174" s="4"/>
      <c r="H1174" s="4"/>
      <c r="I1174" s="4"/>
      <c r="J1174" s="4"/>
      <c r="K1174" s="4"/>
    </row>
    <row r="1175" spans="1:11">
      <c r="A1175" s="1"/>
      <c r="B1175" s="4"/>
      <c r="C1175" s="4"/>
      <c r="D1175" s="4"/>
      <c r="E1175" s="4"/>
      <c r="F1175" s="4"/>
      <c r="G1175" s="4"/>
      <c r="H1175" s="4"/>
      <c r="I1175" s="4"/>
      <c r="J1175" s="4"/>
      <c r="K1175" s="4"/>
    </row>
    <row r="1176" spans="1:11">
      <c r="A1176" s="1"/>
      <c r="B1176" s="4"/>
      <c r="C1176" s="4"/>
      <c r="D1176" s="4"/>
      <c r="E1176" s="4"/>
      <c r="F1176" s="4"/>
      <c r="G1176" s="4"/>
      <c r="H1176" s="4"/>
      <c r="I1176" s="4"/>
      <c r="J1176" s="4"/>
      <c r="K1176" s="4"/>
    </row>
    <row r="1177" spans="1:11">
      <c r="A1177" s="1"/>
      <c r="B1177" s="4"/>
      <c r="C1177" s="4"/>
      <c r="D1177" s="4"/>
      <c r="E1177" s="4"/>
      <c r="F1177" s="4"/>
      <c r="G1177" s="4"/>
      <c r="H1177" s="4"/>
      <c r="I1177" s="4"/>
      <c r="J1177" s="4"/>
      <c r="K1177" s="4"/>
    </row>
    <row r="1178" spans="1:11">
      <c r="A1178" s="1"/>
      <c r="B1178" s="4"/>
      <c r="C1178" s="4"/>
      <c r="D1178" s="4"/>
      <c r="E1178" s="4"/>
      <c r="F1178" s="4"/>
      <c r="G1178" s="4"/>
      <c r="H1178" s="4"/>
      <c r="I1178" s="4"/>
      <c r="J1178" s="4"/>
      <c r="K1178" s="4"/>
    </row>
    <row r="1179" spans="1:11">
      <c r="A1179" s="1"/>
      <c r="B1179" s="4"/>
      <c r="C1179" s="4"/>
      <c r="D1179" s="4"/>
      <c r="E1179" s="4"/>
      <c r="F1179" s="4"/>
      <c r="G1179" s="4"/>
      <c r="H1179" s="4"/>
      <c r="I1179" s="4"/>
      <c r="J1179" s="4"/>
      <c r="K1179" s="4"/>
    </row>
    <row r="1180" spans="1:11">
      <c r="A1180" s="1"/>
      <c r="B1180" s="4"/>
      <c r="C1180" s="4"/>
      <c r="D1180" s="4"/>
      <c r="E1180" s="4"/>
      <c r="F1180" s="4"/>
      <c r="G1180" s="4"/>
      <c r="H1180" s="4"/>
      <c r="I1180" s="4"/>
      <c r="J1180" s="4"/>
      <c r="K1180" s="4"/>
    </row>
    <row r="1181" spans="1:11">
      <c r="A1181" s="1"/>
      <c r="B1181" s="4"/>
      <c r="C1181" s="4"/>
      <c r="D1181" s="4"/>
      <c r="E1181" s="4"/>
      <c r="F1181" s="4"/>
      <c r="G1181" s="4"/>
      <c r="H1181" s="4"/>
      <c r="I1181" s="4"/>
      <c r="J1181" s="4"/>
      <c r="K1181" s="4"/>
    </row>
    <row r="1182" spans="1:11">
      <c r="A1182" s="1"/>
      <c r="B1182" s="4"/>
      <c r="C1182" s="4"/>
      <c r="D1182" s="4"/>
      <c r="E1182" s="4"/>
      <c r="F1182" s="4"/>
      <c r="G1182" s="4"/>
      <c r="H1182" s="4"/>
      <c r="I1182" s="4"/>
      <c r="J1182" s="4"/>
      <c r="K1182" s="4"/>
    </row>
    <row r="1183" spans="1:11">
      <c r="A1183" s="1"/>
      <c r="B1183" s="4"/>
      <c r="C1183" s="4"/>
      <c r="D1183" s="4"/>
      <c r="E1183" s="4"/>
      <c r="F1183" s="4"/>
      <c r="G1183" s="4"/>
      <c r="H1183" s="4"/>
      <c r="I1183" s="4"/>
      <c r="J1183" s="4"/>
      <c r="K1183" s="4"/>
    </row>
    <row r="1184" spans="1:11">
      <c r="A1184" s="1"/>
      <c r="B1184" s="4"/>
      <c r="C1184" s="4"/>
      <c r="D1184" s="4"/>
      <c r="E1184" s="4"/>
      <c r="F1184" s="4"/>
      <c r="G1184" s="4"/>
      <c r="H1184" s="4"/>
      <c r="I1184" s="4"/>
      <c r="J1184" s="4"/>
      <c r="K1184" s="4"/>
    </row>
    <row r="1185" spans="1:11">
      <c r="A1185" s="1"/>
      <c r="B1185" s="4"/>
      <c r="C1185" s="4"/>
      <c r="D1185" s="4"/>
      <c r="E1185" s="4"/>
      <c r="F1185" s="4"/>
      <c r="G1185" s="4"/>
      <c r="H1185" s="4"/>
      <c r="I1185" s="4"/>
      <c r="J1185" s="4"/>
      <c r="K1185" s="4"/>
    </row>
    <row r="1186" spans="1:11">
      <c r="A1186" s="1"/>
      <c r="B1186" s="4"/>
      <c r="C1186" s="4"/>
      <c r="D1186" s="4"/>
      <c r="E1186" s="4"/>
      <c r="F1186" s="4"/>
      <c r="G1186" s="4"/>
      <c r="H1186" s="4"/>
      <c r="I1186" s="4"/>
      <c r="J1186" s="4"/>
      <c r="K1186" s="4"/>
    </row>
    <row r="1187" spans="1:11">
      <c r="A1187" s="1"/>
      <c r="B1187" s="4"/>
      <c r="C1187" s="4"/>
      <c r="D1187" s="4"/>
      <c r="E1187" s="4"/>
      <c r="F1187" s="4"/>
      <c r="G1187" s="4"/>
      <c r="H1187" s="4"/>
      <c r="I1187" s="4"/>
      <c r="J1187" s="4"/>
      <c r="K1187" s="4"/>
    </row>
    <row r="1188" spans="1:11">
      <c r="A1188" s="1"/>
      <c r="B1188" s="4"/>
      <c r="C1188" s="4"/>
      <c r="D1188" s="4"/>
      <c r="E1188" s="4"/>
      <c r="F1188" s="4"/>
      <c r="G1188" s="4"/>
      <c r="H1188" s="4"/>
      <c r="I1188" s="4"/>
      <c r="J1188" s="4"/>
      <c r="K1188" s="4"/>
    </row>
    <row r="1189" spans="1:11">
      <c r="A1189" s="1"/>
      <c r="B1189" s="4"/>
      <c r="C1189" s="4"/>
      <c r="D1189" s="4"/>
      <c r="E1189" s="4"/>
      <c r="F1189" s="4"/>
      <c r="G1189" s="4"/>
      <c r="H1189" s="4"/>
      <c r="I1189" s="4"/>
      <c r="J1189" s="4"/>
      <c r="K1189" s="4"/>
    </row>
    <row r="1190" spans="1:11">
      <c r="A1190" s="1"/>
      <c r="B1190" s="4"/>
      <c r="C1190" s="4"/>
      <c r="D1190" s="4"/>
      <c r="E1190" s="4"/>
      <c r="F1190" s="4"/>
      <c r="G1190" s="4"/>
      <c r="H1190" s="4"/>
      <c r="I1190" s="4"/>
      <c r="J1190" s="4"/>
      <c r="K1190" s="4"/>
    </row>
    <row r="1191" spans="1:11">
      <c r="A1191" s="1"/>
      <c r="B1191" s="4"/>
      <c r="C1191" s="4"/>
      <c r="D1191" s="4"/>
      <c r="E1191" s="4"/>
      <c r="F1191" s="4"/>
      <c r="G1191" s="4"/>
      <c r="H1191" s="4"/>
      <c r="I1191" s="4"/>
      <c r="J1191" s="4"/>
      <c r="K1191" s="4"/>
    </row>
    <row r="1192" spans="1:11">
      <c r="A1192" s="1"/>
      <c r="B1192" s="4"/>
      <c r="C1192" s="4"/>
      <c r="D1192" s="4"/>
      <c r="E1192" s="4"/>
      <c r="F1192" s="4"/>
      <c r="G1192" s="4"/>
      <c r="H1192" s="4"/>
      <c r="I1192" s="4"/>
      <c r="J1192" s="4"/>
      <c r="K1192" s="4"/>
    </row>
    <row r="1193" spans="1:11">
      <c r="A1193" s="1"/>
      <c r="B1193" s="4"/>
      <c r="C1193" s="4"/>
      <c r="D1193" s="4"/>
      <c r="E1193" s="4"/>
      <c r="F1193" s="4"/>
      <c r="G1193" s="4"/>
      <c r="H1193" s="4"/>
      <c r="I1193" s="4"/>
      <c r="J1193" s="4"/>
      <c r="K1193" s="4"/>
    </row>
    <row r="1194" spans="1:11">
      <c r="A1194" s="1"/>
      <c r="B1194" s="4"/>
      <c r="C1194" s="4"/>
      <c r="D1194" s="4"/>
      <c r="E1194" s="4"/>
      <c r="F1194" s="4"/>
      <c r="G1194" s="4"/>
      <c r="H1194" s="4"/>
      <c r="I1194" s="4"/>
      <c r="J1194" s="4"/>
      <c r="K1194" s="4"/>
    </row>
    <row r="1195" spans="1:11">
      <c r="A1195" s="1"/>
      <c r="B1195" s="4"/>
      <c r="C1195" s="4"/>
      <c r="D1195" s="4"/>
      <c r="E1195" s="4"/>
      <c r="F1195" s="4"/>
      <c r="G1195" s="4"/>
      <c r="H1195" s="4"/>
      <c r="I1195" s="4"/>
      <c r="J1195" s="4"/>
      <c r="K1195" s="4"/>
    </row>
    <row r="1196" spans="1:11">
      <c r="A1196" s="1"/>
      <c r="B1196" s="4"/>
      <c r="C1196" s="4"/>
      <c r="D1196" s="4"/>
      <c r="E1196" s="4"/>
      <c r="F1196" s="4"/>
      <c r="G1196" s="4"/>
      <c r="H1196" s="4"/>
      <c r="I1196" s="4"/>
      <c r="J1196" s="4"/>
      <c r="K1196" s="4"/>
    </row>
    <row r="1197" spans="1:11">
      <c r="A1197" s="1"/>
      <c r="B1197" s="4"/>
      <c r="C1197" s="4"/>
      <c r="D1197" s="4"/>
      <c r="E1197" s="4"/>
      <c r="F1197" s="4"/>
      <c r="G1197" s="4"/>
      <c r="H1197" s="4"/>
      <c r="I1197" s="4"/>
      <c r="J1197" s="4"/>
      <c r="K1197" s="4"/>
    </row>
    <row r="1198" spans="1:11">
      <c r="A1198" s="1"/>
      <c r="B1198" s="4"/>
      <c r="C1198" s="4"/>
      <c r="D1198" s="4"/>
      <c r="E1198" s="4"/>
      <c r="F1198" s="4"/>
      <c r="G1198" s="4"/>
      <c r="H1198" s="4"/>
      <c r="I1198" s="4"/>
      <c r="J1198" s="4"/>
      <c r="K1198" s="4"/>
    </row>
    <row r="1199" spans="1:11">
      <c r="A1199" s="1"/>
      <c r="B1199" s="4"/>
      <c r="C1199" s="4"/>
      <c r="D1199" s="4"/>
      <c r="E1199" s="4"/>
      <c r="F1199" s="4"/>
      <c r="G1199" s="4"/>
      <c r="H1199" s="4"/>
      <c r="I1199" s="4"/>
      <c r="J1199" s="4"/>
      <c r="K1199" s="4"/>
    </row>
    <row r="1200" spans="1:11">
      <c r="A1200" s="1"/>
      <c r="B1200" s="4"/>
      <c r="C1200" s="4"/>
      <c r="D1200" s="4"/>
      <c r="E1200" s="4"/>
      <c r="F1200" s="4"/>
      <c r="G1200" s="4"/>
      <c r="H1200" s="4"/>
      <c r="I1200" s="4"/>
      <c r="J1200" s="4"/>
      <c r="K1200" s="4"/>
    </row>
    <row r="1201" spans="1:11">
      <c r="A1201" s="1"/>
      <c r="B1201" s="4"/>
      <c r="C1201" s="4"/>
      <c r="D1201" s="4"/>
      <c r="E1201" s="4"/>
      <c r="F1201" s="4"/>
      <c r="G1201" s="4"/>
      <c r="H1201" s="4"/>
      <c r="I1201" s="4"/>
      <c r="J1201" s="4"/>
      <c r="K1201" s="4"/>
    </row>
    <row r="1202" spans="1:11">
      <c r="A1202" s="1"/>
      <c r="B1202" s="4"/>
      <c r="C1202" s="4"/>
      <c r="D1202" s="4"/>
      <c r="E1202" s="4"/>
      <c r="F1202" s="4"/>
      <c r="G1202" s="4"/>
      <c r="H1202" s="4"/>
      <c r="I1202" s="4"/>
      <c r="J1202" s="4"/>
      <c r="K1202" s="4"/>
    </row>
    <row r="1203" spans="1:11">
      <c r="A1203" s="1"/>
      <c r="B1203" s="4"/>
      <c r="C1203" s="4"/>
      <c r="D1203" s="4"/>
      <c r="E1203" s="4"/>
      <c r="F1203" s="4"/>
      <c r="G1203" s="4"/>
      <c r="H1203" s="4"/>
      <c r="I1203" s="4"/>
      <c r="J1203" s="4"/>
      <c r="K1203" s="4"/>
    </row>
    <row r="1204" spans="1:11">
      <c r="A1204" s="1"/>
      <c r="B1204" s="4"/>
      <c r="C1204" s="4"/>
      <c r="D1204" s="4"/>
      <c r="E1204" s="4"/>
      <c r="F1204" s="4"/>
      <c r="G1204" s="4"/>
      <c r="H1204" s="4"/>
      <c r="I1204" s="4"/>
      <c r="J1204" s="4"/>
      <c r="K1204" s="4"/>
    </row>
    <row r="1205" spans="1:11">
      <c r="A1205" s="1"/>
      <c r="B1205" s="4"/>
      <c r="C1205" s="4"/>
      <c r="D1205" s="4"/>
      <c r="E1205" s="4"/>
      <c r="F1205" s="4"/>
      <c r="G1205" s="4"/>
      <c r="H1205" s="4"/>
      <c r="I1205" s="4"/>
      <c r="J1205" s="4"/>
      <c r="K1205" s="4"/>
    </row>
    <row r="1206" spans="1:11">
      <c r="A1206" s="1"/>
      <c r="B1206" s="4"/>
      <c r="C1206" s="4"/>
      <c r="D1206" s="4"/>
      <c r="E1206" s="4"/>
      <c r="F1206" s="4"/>
      <c r="G1206" s="4"/>
      <c r="H1206" s="4"/>
      <c r="I1206" s="4"/>
      <c r="J1206" s="4"/>
      <c r="K1206" s="4"/>
    </row>
    <row r="1207" spans="1:11">
      <c r="A1207" s="1"/>
      <c r="B1207" s="4"/>
      <c r="C1207" s="4"/>
      <c r="D1207" s="4"/>
      <c r="E1207" s="4"/>
      <c r="F1207" s="4"/>
      <c r="G1207" s="4"/>
      <c r="H1207" s="4"/>
      <c r="I1207" s="4"/>
      <c r="J1207" s="4"/>
      <c r="K1207" s="4"/>
    </row>
    <row r="1208" spans="1:11">
      <c r="A1208" s="1"/>
      <c r="B1208" s="4"/>
      <c r="C1208" s="4"/>
      <c r="D1208" s="4"/>
      <c r="E1208" s="4"/>
      <c r="F1208" s="4"/>
      <c r="G1208" s="4"/>
      <c r="H1208" s="4"/>
      <c r="I1208" s="4"/>
      <c r="J1208" s="4"/>
      <c r="K1208" s="4"/>
    </row>
    <row r="1209" spans="1:11">
      <c r="A1209" s="1"/>
      <c r="B1209" s="4"/>
      <c r="C1209" s="4"/>
      <c r="D1209" s="4"/>
      <c r="E1209" s="4"/>
      <c r="F1209" s="4"/>
      <c r="G1209" s="4"/>
      <c r="H1209" s="4"/>
      <c r="I1209" s="4"/>
      <c r="J1209" s="4"/>
      <c r="K1209" s="4"/>
    </row>
    <row r="1210" spans="1:11">
      <c r="A1210" s="1"/>
      <c r="B1210" s="4"/>
      <c r="C1210" s="4"/>
      <c r="D1210" s="4"/>
      <c r="E1210" s="4"/>
      <c r="F1210" s="4"/>
      <c r="G1210" s="4"/>
      <c r="H1210" s="4"/>
      <c r="I1210" s="4"/>
      <c r="J1210" s="4"/>
      <c r="K1210" s="4"/>
    </row>
    <row r="1211" spans="1:11">
      <c r="A1211" s="1"/>
      <c r="B1211" s="4"/>
      <c r="C1211" s="4"/>
      <c r="D1211" s="4"/>
      <c r="E1211" s="4"/>
      <c r="F1211" s="4"/>
      <c r="G1211" s="4"/>
      <c r="H1211" s="4"/>
      <c r="I1211" s="4"/>
      <c r="J1211" s="4"/>
      <c r="K1211" s="4"/>
    </row>
    <row r="1212" spans="1:11">
      <c r="A1212" s="1"/>
      <c r="B1212" s="4"/>
      <c r="C1212" s="4"/>
      <c r="D1212" s="4"/>
      <c r="E1212" s="4"/>
      <c r="F1212" s="4"/>
      <c r="G1212" s="4"/>
      <c r="H1212" s="4"/>
      <c r="I1212" s="4"/>
      <c r="J1212" s="4"/>
      <c r="K1212" s="4"/>
    </row>
    <row r="1213" spans="1:11">
      <c r="A1213" s="1"/>
      <c r="B1213" s="4"/>
      <c r="C1213" s="4"/>
      <c r="D1213" s="4"/>
      <c r="E1213" s="4"/>
      <c r="F1213" s="4"/>
      <c r="G1213" s="4"/>
      <c r="H1213" s="4"/>
      <c r="I1213" s="4"/>
      <c r="J1213" s="4"/>
      <c r="K1213" s="4"/>
    </row>
    <row r="1214" spans="1:11">
      <c r="A1214" s="1"/>
      <c r="B1214" s="4"/>
      <c r="C1214" s="4"/>
      <c r="D1214" s="4"/>
      <c r="E1214" s="4"/>
      <c r="F1214" s="4"/>
      <c r="G1214" s="4"/>
      <c r="H1214" s="4"/>
      <c r="I1214" s="4"/>
      <c r="J1214" s="4"/>
      <c r="K1214" s="4"/>
    </row>
    <row r="1215" spans="1:11">
      <c r="A1215" s="1"/>
      <c r="B1215" s="4"/>
      <c r="C1215" s="4"/>
      <c r="D1215" s="4"/>
      <c r="E1215" s="4"/>
      <c r="F1215" s="4"/>
      <c r="G1215" s="4"/>
      <c r="H1215" s="4"/>
      <c r="I1215" s="4"/>
      <c r="J1215" s="4"/>
      <c r="K1215" s="4"/>
    </row>
    <row r="1216" spans="1:11">
      <c r="A1216" s="1"/>
      <c r="B1216" s="4"/>
      <c r="C1216" s="4"/>
      <c r="D1216" s="4"/>
      <c r="E1216" s="4"/>
      <c r="F1216" s="4"/>
      <c r="G1216" s="4"/>
      <c r="H1216" s="4"/>
      <c r="I1216" s="4"/>
      <c r="J1216" s="4"/>
      <c r="K1216" s="4"/>
    </row>
    <row r="1217" spans="1:11">
      <c r="A1217" s="1"/>
      <c r="B1217" s="4"/>
      <c r="C1217" s="4"/>
      <c r="D1217" s="4"/>
      <c r="E1217" s="4"/>
      <c r="F1217" s="4"/>
      <c r="G1217" s="4"/>
      <c r="H1217" s="4"/>
      <c r="I1217" s="4"/>
      <c r="J1217" s="4"/>
      <c r="K1217" s="4"/>
    </row>
    <row r="1218" spans="1:11">
      <c r="A1218" s="1"/>
      <c r="B1218" s="4"/>
      <c r="C1218" s="4"/>
      <c r="D1218" s="4"/>
      <c r="E1218" s="4"/>
      <c r="F1218" s="4"/>
      <c r="G1218" s="4"/>
      <c r="H1218" s="4"/>
      <c r="I1218" s="4"/>
      <c r="J1218" s="4"/>
      <c r="K1218" s="4"/>
    </row>
    <row r="1219" spans="1:11">
      <c r="A1219" s="1"/>
      <c r="B1219" s="4"/>
      <c r="C1219" s="4"/>
      <c r="D1219" s="4"/>
      <c r="E1219" s="4"/>
      <c r="F1219" s="4"/>
      <c r="G1219" s="4"/>
      <c r="H1219" s="4"/>
      <c r="I1219" s="4"/>
      <c r="J1219" s="4"/>
      <c r="K1219" s="4"/>
    </row>
    <row r="1220" spans="1:11">
      <c r="A1220" s="1"/>
      <c r="B1220" s="4"/>
      <c r="C1220" s="4"/>
      <c r="D1220" s="4"/>
      <c r="E1220" s="4"/>
      <c r="F1220" s="4"/>
      <c r="G1220" s="4"/>
      <c r="H1220" s="4"/>
      <c r="I1220" s="4"/>
      <c r="J1220" s="4"/>
      <c r="K1220" s="4"/>
    </row>
    <row r="1221" spans="1:11">
      <c r="A1221" s="1"/>
      <c r="B1221" s="4"/>
      <c r="C1221" s="4"/>
      <c r="D1221" s="4"/>
      <c r="E1221" s="4"/>
      <c r="F1221" s="4"/>
      <c r="G1221" s="4"/>
      <c r="H1221" s="4"/>
      <c r="I1221" s="4"/>
      <c r="J1221" s="4"/>
      <c r="K1221" s="4"/>
    </row>
    <row r="1222" spans="1:11">
      <c r="A1222" s="1"/>
      <c r="B1222" s="4"/>
      <c r="C1222" s="4"/>
      <c r="D1222" s="4"/>
      <c r="E1222" s="4"/>
      <c r="F1222" s="4"/>
      <c r="G1222" s="4"/>
      <c r="H1222" s="4"/>
      <c r="I1222" s="4"/>
      <c r="J1222" s="4"/>
      <c r="K1222" s="4"/>
    </row>
    <row r="1223" spans="1:11">
      <c r="A1223" s="1"/>
      <c r="B1223" s="4"/>
      <c r="C1223" s="4"/>
      <c r="D1223" s="4"/>
      <c r="E1223" s="4"/>
      <c r="F1223" s="4"/>
      <c r="G1223" s="4"/>
      <c r="H1223" s="4"/>
      <c r="I1223" s="4"/>
      <c r="J1223" s="4"/>
      <c r="K1223" s="4"/>
    </row>
    <row r="1224" spans="1:11">
      <c r="A1224" s="1"/>
      <c r="B1224" s="4"/>
      <c r="C1224" s="4"/>
      <c r="D1224" s="4"/>
      <c r="E1224" s="4"/>
      <c r="F1224" s="4"/>
      <c r="G1224" s="4"/>
      <c r="H1224" s="4"/>
      <c r="I1224" s="4"/>
      <c r="J1224" s="4"/>
      <c r="K1224" s="4"/>
    </row>
    <row r="1225" spans="1:11">
      <c r="A1225" s="1"/>
      <c r="B1225" s="4"/>
      <c r="C1225" s="4"/>
      <c r="D1225" s="4"/>
      <c r="E1225" s="4"/>
      <c r="F1225" s="4"/>
      <c r="G1225" s="4"/>
      <c r="H1225" s="4"/>
      <c r="I1225" s="4"/>
      <c r="J1225" s="4"/>
      <c r="K1225" s="4"/>
    </row>
    <row r="1226" spans="1:11">
      <c r="A1226" s="1"/>
      <c r="B1226" s="4"/>
      <c r="C1226" s="4"/>
      <c r="D1226" s="4"/>
      <c r="E1226" s="4"/>
      <c r="F1226" s="4"/>
      <c r="G1226" s="4"/>
      <c r="H1226" s="4"/>
      <c r="I1226" s="4"/>
      <c r="J1226" s="4"/>
      <c r="K1226" s="4"/>
    </row>
    <row r="1227" spans="1:11">
      <c r="A1227" s="1"/>
      <c r="B1227" s="4"/>
      <c r="C1227" s="4"/>
      <c r="D1227" s="4"/>
      <c r="E1227" s="4"/>
      <c r="F1227" s="4"/>
      <c r="G1227" s="4"/>
      <c r="H1227" s="4"/>
      <c r="I1227" s="4"/>
      <c r="J1227" s="4"/>
      <c r="K1227" s="4"/>
    </row>
    <row r="1228" spans="1:11">
      <c r="A1228" s="1"/>
      <c r="B1228" s="4"/>
      <c r="C1228" s="4"/>
      <c r="D1228" s="4"/>
      <c r="E1228" s="4"/>
      <c r="F1228" s="4"/>
      <c r="G1228" s="4"/>
      <c r="H1228" s="4"/>
      <c r="I1228" s="4"/>
      <c r="J1228" s="4"/>
      <c r="K1228" s="4"/>
    </row>
    <row r="1229" spans="1:11">
      <c r="A1229" s="1"/>
      <c r="B1229" s="4"/>
      <c r="C1229" s="4"/>
      <c r="D1229" s="4"/>
      <c r="E1229" s="4"/>
      <c r="F1229" s="4"/>
      <c r="G1229" s="4"/>
      <c r="H1229" s="4"/>
      <c r="I1229" s="4"/>
      <c r="J1229" s="4"/>
      <c r="K1229" s="4"/>
    </row>
    <row r="1230" spans="1:11">
      <c r="A1230" s="1"/>
      <c r="B1230" s="4"/>
      <c r="C1230" s="4"/>
      <c r="D1230" s="4"/>
      <c r="E1230" s="4"/>
      <c r="F1230" s="4"/>
      <c r="G1230" s="4"/>
      <c r="H1230" s="4"/>
      <c r="I1230" s="4"/>
      <c r="J1230" s="4"/>
      <c r="K1230" s="4"/>
    </row>
    <row r="1231" spans="1:11">
      <c r="A1231" s="1"/>
      <c r="B1231" s="4"/>
      <c r="C1231" s="4"/>
      <c r="D1231" s="4"/>
      <c r="E1231" s="4"/>
      <c r="F1231" s="4"/>
      <c r="G1231" s="4"/>
      <c r="H1231" s="4"/>
      <c r="I1231" s="4"/>
      <c r="J1231" s="4"/>
      <c r="K1231" s="4"/>
    </row>
    <row r="1232" spans="1:11">
      <c r="A1232" s="1"/>
      <c r="B1232" s="4"/>
      <c r="C1232" s="4"/>
      <c r="D1232" s="4"/>
      <c r="E1232" s="4"/>
      <c r="F1232" s="4"/>
      <c r="G1232" s="4"/>
      <c r="H1232" s="4"/>
      <c r="I1232" s="4"/>
      <c r="J1232" s="4"/>
      <c r="K1232" s="4"/>
    </row>
    <row r="1233" spans="1:11">
      <c r="A1233" s="1"/>
      <c r="B1233" s="4"/>
      <c r="C1233" s="4"/>
      <c r="D1233" s="4"/>
      <c r="E1233" s="4"/>
      <c r="F1233" s="4"/>
      <c r="G1233" s="4"/>
      <c r="H1233" s="4"/>
      <c r="I1233" s="4"/>
      <c r="J1233" s="4"/>
      <c r="K1233" s="4"/>
    </row>
    <row r="1234" spans="1:11">
      <c r="A1234" s="1"/>
      <c r="B1234" s="4"/>
      <c r="C1234" s="4"/>
      <c r="D1234" s="4"/>
      <c r="E1234" s="4"/>
      <c r="F1234" s="4"/>
      <c r="G1234" s="4"/>
      <c r="H1234" s="4"/>
      <c r="I1234" s="4"/>
      <c r="J1234" s="4"/>
      <c r="K1234" s="4"/>
    </row>
    <row r="1235" spans="1:11">
      <c r="A1235" s="1"/>
      <c r="B1235" s="4"/>
      <c r="C1235" s="4"/>
      <c r="D1235" s="4"/>
      <c r="E1235" s="4"/>
      <c r="F1235" s="4"/>
      <c r="G1235" s="4"/>
      <c r="H1235" s="4"/>
      <c r="I1235" s="4"/>
      <c r="J1235" s="4"/>
      <c r="K1235" s="4"/>
    </row>
    <row r="1236" spans="1:11">
      <c r="A1236" s="1"/>
      <c r="B1236" s="4"/>
      <c r="C1236" s="4"/>
      <c r="D1236" s="4"/>
      <c r="E1236" s="4"/>
      <c r="F1236" s="4"/>
      <c r="G1236" s="4"/>
      <c r="H1236" s="4"/>
      <c r="I1236" s="4"/>
      <c r="J1236" s="4"/>
      <c r="K1236" s="4"/>
    </row>
    <row r="1237" spans="1:11">
      <c r="A1237" s="1"/>
      <c r="B1237" s="4"/>
      <c r="C1237" s="4"/>
      <c r="D1237" s="4"/>
      <c r="E1237" s="4"/>
      <c r="F1237" s="4"/>
      <c r="G1237" s="4"/>
      <c r="H1237" s="4"/>
      <c r="I1237" s="4"/>
      <c r="J1237" s="4"/>
      <c r="K1237" s="4"/>
    </row>
    <row r="1238" spans="1:11">
      <c r="A1238" s="1"/>
      <c r="B1238" s="4"/>
      <c r="C1238" s="4"/>
      <c r="D1238" s="4"/>
      <c r="E1238" s="4"/>
      <c r="F1238" s="4"/>
      <c r="G1238" s="4"/>
      <c r="H1238" s="4"/>
      <c r="I1238" s="4"/>
      <c r="J1238" s="4"/>
      <c r="K1238" s="4"/>
    </row>
    <row r="1239" spans="1:11">
      <c r="A1239" s="1"/>
      <c r="B1239" s="4"/>
      <c r="C1239" s="4"/>
      <c r="D1239" s="4"/>
      <c r="E1239" s="4"/>
      <c r="F1239" s="4"/>
      <c r="G1239" s="4"/>
      <c r="H1239" s="4"/>
      <c r="I1239" s="4"/>
      <c r="J1239" s="4"/>
      <c r="K1239" s="4"/>
    </row>
    <row r="1240" spans="1:11">
      <c r="A1240" s="1"/>
      <c r="B1240" s="4"/>
      <c r="C1240" s="4"/>
      <c r="D1240" s="4"/>
      <c r="E1240" s="4"/>
      <c r="F1240" s="4"/>
      <c r="G1240" s="4"/>
      <c r="H1240" s="4"/>
      <c r="I1240" s="4"/>
      <c r="J1240" s="4"/>
      <c r="K1240" s="4"/>
    </row>
    <row r="1241" spans="1:11">
      <c r="A1241" s="1"/>
      <c r="B1241" s="4"/>
      <c r="C1241" s="4"/>
      <c r="D1241" s="4"/>
      <c r="E1241" s="4"/>
      <c r="F1241" s="4"/>
      <c r="G1241" s="4"/>
      <c r="H1241" s="4"/>
      <c r="I1241" s="4"/>
      <c r="J1241" s="4"/>
      <c r="K1241" s="4"/>
    </row>
    <row r="1242" spans="1:11">
      <c r="A1242" s="1"/>
      <c r="B1242" s="4"/>
      <c r="C1242" s="4"/>
      <c r="D1242" s="4"/>
      <c r="E1242" s="4"/>
      <c r="F1242" s="4"/>
      <c r="G1242" s="4"/>
      <c r="H1242" s="4"/>
      <c r="I1242" s="4"/>
      <c r="J1242" s="4"/>
      <c r="K1242" s="4"/>
    </row>
    <row r="1243" spans="1:11">
      <c r="A1243" s="1"/>
      <c r="B1243" s="4"/>
      <c r="C1243" s="4"/>
      <c r="D1243" s="4"/>
      <c r="E1243" s="4"/>
      <c r="F1243" s="4"/>
      <c r="G1243" s="4"/>
      <c r="H1243" s="4"/>
      <c r="I1243" s="4"/>
      <c r="J1243" s="4"/>
      <c r="K1243" s="4"/>
    </row>
    <row r="1244" spans="1:11">
      <c r="A1244" s="1"/>
      <c r="B1244" s="4"/>
      <c r="C1244" s="4"/>
      <c r="D1244" s="4"/>
      <c r="E1244" s="4"/>
      <c r="F1244" s="4"/>
      <c r="G1244" s="4"/>
      <c r="H1244" s="4"/>
      <c r="I1244" s="4"/>
      <c r="J1244" s="4"/>
      <c r="K1244" s="4"/>
    </row>
    <row r="1245" spans="1:11">
      <c r="A1245" s="1"/>
      <c r="B1245" s="4"/>
      <c r="C1245" s="4"/>
      <c r="D1245" s="4"/>
      <c r="E1245" s="4"/>
      <c r="F1245" s="4"/>
      <c r="G1245" s="4"/>
      <c r="H1245" s="4"/>
      <c r="I1245" s="4"/>
      <c r="J1245" s="4"/>
      <c r="K1245" s="4"/>
    </row>
    <row r="1246" spans="1:11">
      <c r="A1246" s="1"/>
      <c r="B1246" s="4"/>
      <c r="C1246" s="4"/>
      <c r="D1246" s="4"/>
      <c r="E1246" s="4"/>
      <c r="F1246" s="4"/>
      <c r="G1246" s="4"/>
      <c r="H1246" s="4"/>
      <c r="I1246" s="4"/>
      <c r="J1246" s="4"/>
      <c r="K1246" s="4"/>
    </row>
    <row r="1247" spans="1:11">
      <c r="A1247" s="1"/>
      <c r="B1247" s="4"/>
      <c r="C1247" s="4"/>
      <c r="D1247" s="4"/>
      <c r="E1247" s="4"/>
      <c r="F1247" s="4"/>
      <c r="G1247" s="4"/>
      <c r="H1247" s="4"/>
      <c r="I1247" s="4"/>
      <c r="J1247" s="4"/>
      <c r="K1247" s="4"/>
    </row>
    <row r="1248" spans="1:11">
      <c r="A1248" s="1"/>
      <c r="B1248" s="4"/>
      <c r="C1248" s="4"/>
      <c r="D1248" s="4"/>
      <c r="E1248" s="4"/>
      <c r="F1248" s="4"/>
      <c r="G1248" s="4"/>
      <c r="H1248" s="4"/>
      <c r="I1248" s="4"/>
      <c r="J1248" s="4"/>
      <c r="K1248" s="4"/>
    </row>
    <row r="1249" spans="1:11">
      <c r="A1249" s="1"/>
      <c r="B1249" s="4"/>
      <c r="C1249" s="4"/>
      <c r="D1249" s="4"/>
      <c r="E1249" s="4"/>
      <c r="F1249" s="4"/>
      <c r="G1249" s="4"/>
      <c r="H1249" s="4"/>
      <c r="I1249" s="4"/>
      <c r="J1249" s="4"/>
      <c r="K1249" s="4"/>
    </row>
    <row r="1250" spans="1:11">
      <c r="A1250" s="1"/>
      <c r="B1250" s="4"/>
      <c r="C1250" s="4"/>
      <c r="D1250" s="4"/>
      <c r="E1250" s="4"/>
      <c r="F1250" s="4"/>
      <c r="G1250" s="4"/>
      <c r="H1250" s="4"/>
      <c r="I1250" s="4"/>
      <c r="J1250" s="4"/>
      <c r="K1250" s="4"/>
    </row>
    <row r="1251" spans="1:11">
      <c r="A1251" s="1"/>
      <c r="B1251" s="4"/>
      <c r="C1251" s="4"/>
      <c r="D1251" s="4"/>
      <c r="E1251" s="4"/>
      <c r="F1251" s="4"/>
      <c r="G1251" s="4"/>
      <c r="H1251" s="4"/>
      <c r="I1251" s="4"/>
      <c r="J1251" s="4"/>
      <c r="K1251" s="4"/>
    </row>
    <row r="1252" spans="1:11">
      <c r="A1252" s="1"/>
      <c r="B1252" s="4"/>
      <c r="C1252" s="4"/>
      <c r="D1252" s="4"/>
      <c r="E1252" s="4"/>
      <c r="F1252" s="4"/>
      <c r="G1252" s="4"/>
      <c r="H1252" s="4"/>
      <c r="I1252" s="4"/>
      <c r="J1252" s="4"/>
      <c r="K1252" s="4"/>
    </row>
    <row r="1253" spans="1:11">
      <c r="A1253" s="1"/>
      <c r="B1253" s="4"/>
      <c r="C1253" s="4"/>
      <c r="D1253" s="4"/>
      <c r="E1253" s="4"/>
      <c r="F1253" s="4"/>
      <c r="G1253" s="4"/>
      <c r="H1253" s="4"/>
      <c r="I1253" s="4"/>
      <c r="J1253" s="4"/>
      <c r="K1253" s="4"/>
    </row>
    <row r="1254" spans="1:11">
      <c r="A1254" s="1"/>
      <c r="B1254" s="4"/>
      <c r="C1254" s="4"/>
      <c r="D1254" s="4"/>
      <c r="E1254" s="4"/>
      <c r="F1254" s="4"/>
      <c r="G1254" s="4"/>
      <c r="H1254" s="4"/>
      <c r="I1254" s="4"/>
      <c r="J1254" s="4"/>
      <c r="K1254" s="4"/>
    </row>
    <row r="1255" spans="1:11">
      <c r="A1255" s="1"/>
      <c r="B1255" s="4"/>
      <c r="C1255" s="4"/>
      <c r="D1255" s="4"/>
      <c r="E1255" s="4"/>
      <c r="F1255" s="4"/>
      <c r="G1255" s="4"/>
      <c r="H1255" s="4"/>
      <c r="I1255" s="4"/>
      <c r="J1255" s="4"/>
      <c r="K1255" s="4"/>
    </row>
    <row r="1256" spans="1:11">
      <c r="A1256" s="1"/>
      <c r="B1256" s="4"/>
      <c r="C1256" s="4"/>
      <c r="D1256" s="4"/>
      <c r="E1256" s="4"/>
      <c r="F1256" s="4"/>
      <c r="G1256" s="4"/>
      <c r="H1256" s="4"/>
      <c r="I1256" s="4"/>
      <c r="J1256" s="4"/>
      <c r="K1256" s="4"/>
    </row>
    <row r="1257" spans="1:11">
      <c r="A1257" s="1"/>
      <c r="B1257" s="4"/>
      <c r="C1257" s="4"/>
      <c r="D1257" s="4"/>
      <c r="E1257" s="4"/>
      <c r="F1257" s="4"/>
      <c r="G1257" s="4"/>
      <c r="H1257" s="4"/>
      <c r="I1257" s="4"/>
      <c r="J1257" s="4"/>
      <c r="K1257" s="4"/>
    </row>
    <row r="1258" spans="1:11">
      <c r="A1258" s="1"/>
      <c r="B1258" s="4"/>
      <c r="C1258" s="4"/>
      <c r="D1258" s="4"/>
      <c r="E1258" s="4"/>
      <c r="F1258" s="4"/>
      <c r="G1258" s="4"/>
      <c r="H1258" s="4"/>
      <c r="I1258" s="4"/>
      <c r="J1258" s="4"/>
      <c r="K1258" s="4"/>
    </row>
    <row r="1259" spans="1:11">
      <c r="A1259" s="1"/>
      <c r="B1259" s="4"/>
      <c r="C1259" s="4"/>
      <c r="D1259" s="4"/>
      <c r="E1259" s="4"/>
      <c r="F1259" s="4"/>
      <c r="G1259" s="4"/>
      <c r="H1259" s="4"/>
      <c r="I1259" s="4"/>
      <c r="J1259" s="4"/>
      <c r="K1259" s="4"/>
    </row>
    <row r="1260" spans="1:11">
      <c r="A1260" s="1"/>
      <c r="B1260" s="4"/>
      <c r="C1260" s="4"/>
      <c r="D1260" s="4"/>
      <c r="E1260" s="4"/>
      <c r="F1260" s="4"/>
      <c r="G1260" s="4"/>
      <c r="H1260" s="4"/>
      <c r="I1260" s="4"/>
      <c r="J1260" s="4"/>
      <c r="K1260" s="4"/>
    </row>
    <row r="1261" spans="1:11">
      <c r="A1261" s="1"/>
      <c r="B1261" s="4"/>
      <c r="C1261" s="4"/>
      <c r="D1261" s="4"/>
      <c r="E1261" s="4"/>
      <c r="F1261" s="4"/>
      <c r="G1261" s="4"/>
      <c r="H1261" s="4"/>
      <c r="I1261" s="4"/>
      <c r="J1261" s="4"/>
      <c r="K1261" s="4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104F-12A8-4233-811C-2512364AA97A}">
  <dimension ref="A1:K1261"/>
  <sheetViews>
    <sheetView topLeftCell="A1236" zoomScale="52" workbookViewId="0">
      <selection activeCell="A1255" sqref="A1255:XFD1255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1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1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153" si="18">SUM(B1090,D1090,F1090,H1090)</f>
        <v>284</v>
      </c>
      <c r="K1090" s="4">
        <f t="shared" si="18"/>
        <v>483</v>
      </c>
    </row>
    <row r="1091" spans="1:11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1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1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1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</row>
    <row r="1095" spans="1:11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1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1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1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18"/>
        <v>128</v>
      </c>
      <c r="K1098" s="4">
        <f t="shared" si="18"/>
        <v>165</v>
      </c>
    </row>
    <row r="1099" spans="1:11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18"/>
        <v>692</v>
      </c>
      <c r="K1099" s="4">
        <f t="shared" si="18"/>
        <v>1112</v>
      </c>
    </row>
    <row r="1100" spans="1:11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18"/>
        <v>680</v>
      </c>
      <c r="K1100" s="4">
        <f t="shared" si="18"/>
        <v>1266</v>
      </c>
    </row>
    <row r="1101" spans="1:11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18"/>
        <v>601</v>
      </c>
      <c r="K1101" s="4">
        <f t="shared" si="18"/>
        <v>951</v>
      </c>
    </row>
    <row r="1102" spans="1:11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18"/>
        <v>276</v>
      </c>
      <c r="K1102" s="4">
        <f t="shared" si="18"/>
        <v>402</v>
      </c>
    </row>
    <row r="1103" spans="1:11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18"/>
        <v>739</v>
      </c>
      <c r="K1103" s="4">
        <f t="shared" si="18"/>
        <v>821</v>
      </c>
    </row>
    <row r="1104" spans="1:11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18"/>
        <v>1197</v>
      </c>
      <c r="K1104" s="4">
        <f t="shared" si="18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18"/>
        <v>851</v>
      </c>
      <c r="K1105" s="4">
        <f t="shared" si="18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18"/>
        <v>805</v>
      </c>
      <c r="K1106" s="4">
        <f t="shared" si="18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18"/>
        <v>880</v>
      </c>
      <c r="K1107" s="4">
        <f t="shared" si="18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18"/>
        <v>788</v>
      </c>
      <c r="K1108" s="4">
        <f t="shared" si="18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18"/>
        <v>598</v>
      </c>
      <c r="K1109" s="4">
        <f t="shared" si="18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18"/>
        <v>596</v>
      </c>
      <c r="K1110" s="4">
        <f t="shared" si="18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18"/>
        <v>869</v>
      </c>
      <c r="K1111" s="4">
        <f t="shared" si="18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18"/>
        <v>1045</v>
      </c>
      <c r="K1112" s="4">
        <f t="shared" si="18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18"/>
        <v>937</v>
      </c>
      <c r="K1113" s="4">
        <f t="shared" si="18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18"/>
        <v>1008</v>
      </c>
      <c r="K1114" s="4">
        <f t="shared" si="18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18"/>
        <v>498</v>
      </c>
      <c r="K1115" s="4">
        <f t="shared" si="18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18"/>
        <v>1070</v>
      </c>
      <c r="K1116" s="4">
        <f t="shared" si="18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18"/>
        <v>824</v>
      </c>
      <c r="K1117" s="4">
        <f t="shared" si="18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18"/>
        <v>622</v>
      </c>
      <c r="K1118" s="4">
        <f t="shared" si="18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18"/>
        <v>296</v>
      </c>
      <c r="K1119" s="4">
        <f t="shared" si="18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18"/>
        <v>774</v>
      </c>
      <c r="K1120" s="4">
        <f t="shared" si="18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18"/>
        <v>733</v>
      </c>
      <c r="K1121" s="4">
        <f t="shared" si="18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18"/>
        <v>363</v>
      </c>
      <c r="K1122" s="4">
        <f t="shared" si="18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18"/>
        <v>655</v>
      </c>
      <c r="K1123" s="4">
        <f t="shared" si="18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18"/>
        <v>609</v>
      </c>
      <c r="K1124" s="4">
        <f t="shared" si="18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18"/>
        <v>612</v>
      </c>
      <c r="K1125" s="4">
        <f t="shared" si="18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18"/>
        <v>733</v>
      </c>
      <c r="K1126" s="4">
        <f t="shared" si="18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18"/>
        <v>718</v>
      </c>
      <c r="K1127" s="4">
        <f t="shared" si="18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18"/>
        <v>811</v>
      </c>
      <c r="K1128" s="4">
        <f t="shared" si="18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18"/>
        <v>501</v>
      </c>
      <c r="K1129" s="4">
        <f t="shared" si="18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18"/>
        <v>1000</v>
      </c>
      <c r="K1130" s="4">
        <f t="shared" si="18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18"/>
        <v>716</v>
      </c>
      <c r="K1131" s="4">
        <f t="shared" si="18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18"/>
        <v>563</v>
      </c>
      <c r="K1132" s="4">
        <f t="shared" si="18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18"/>
        <v>714</v>
      </c>
      <c r="K1133" s="4">
        <f t="shared" si="18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18"/>
        <v>568</v>
      </c>
      <c r="K1134" s="4">
        <f t="shared" si="18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18"/>
        <v>726</v>
      </c>
      <c r="K1135" s="4">
        <f t="shared" si="18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18"/>
        <v>402</v>
      </c>
      <c r="K1136" s="4">
        <f t="shared" si="18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18"/>
        <v>640</v>
      </c>
      <c r="K1137" s="4">
        <f t="shared" si="18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18"/>
        <v>687</v>
      </c>
      <c r="K1138" s="4">
        <f t="shared" si="18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18"/>
        <v>527</v>
      </c>
      <c r="K1139" s="4">
        <f t="shared" si="18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18"/>
        <v>833</v>
      </c>
      <c r="K1140" s="4">
        <f t="shared" si="18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18"/>
        <v>739</v>
      </c>
      <c r="K1141" s="4">
        <f t="shared" si="18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18"/>
        <v>708</v>
      </c>
      <c r="K1142" s="4">
        <f t="shared" si="18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18"/>
        <v>417</v>
      </c>
      <c r="K1143" s="4">
        <f t="shared" si="18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18"/>
        <v>869</v>
      </c>
      <c r="K1144" s="4">
        <f t="shared" si="18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18"/>
        <v>644</v>
      </c>
      <c r="K1145" s="4">
        <f t="shared" si="18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18"/>
        <v>577</v>
      </c>
      <c r="K1146" s="4">
        <f t="shared" si="18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18"/>
        <v>703</v>
      </c>
      <c r="K1147" s="4">
        <f t="shared" si="18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18"/>
        <v>672</v>
      </c>
      <c r="K1148" s="4">
        <f t="shared" si="18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18"/>
        <v>644</v>
      </c>
      <c r="K1149" s="4">
        <f t="shared" si="18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18"/>
        <v>369</v>
      </c>
      <c r="K1150" s="4">
        <f t="shared" si="18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18"/>
        <v>515</v>
      </c>
      <c r="K1151" s="4">
        <f t="shared" si="18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18"/>
        <v>613</v>
      </c>
      <c r="K1152" s="4">
        <f t="shared" si="18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18"/>
        <v>522</v>
      </c>
      <c r="K1153" s="4">
        <f t="shared" si="18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19">SUM(B1154,D1154,F1154,H1154)</f>
        <v>503</v>
      </c>
      <c r="K1154" s="4">
        <f t="shared" si="19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19"/>
        <v>601</v>
      </c>
      <c r="K1155" s="4">
        <f t="shared" si="19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19"/>
        <v>665</v>
      </c>
      <c r="K1156" s="4">
        <f t="shared" si="19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19"/>
        <v>150</v>
      </c>
      <c r="K1157" s="4">
        <f t="shared" si="19"/>
        <v>171</v>
      </c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19"/>
        <v>342</v>
      </c>
      <c r="K1158" s="4">
        <f t="shared" si="19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19"/>
        <v>372</v>
      </c>
      <c r="K1159" s="4">
        <f t="shared" si="19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19"/>
        <v>323</v>
      </c>
      <c r="K1160" s="4">
        <f t="shared" si="19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19"/>
        <v>294</v>
      </c>
      <c r="K1161" s="4">
        <f t="shared" si="19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19"/>
        <v>303</v>
      </c>
      <c r="K1162" s="4">
        <f t="shared" si="19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19"/>
        <v>312</v>
      </c>
      <c r="K1163" s="4">
        <f t="shared" si="19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19"/>
        <v>54</v>
      </c>
      <c r="K1164" s="4">
        <f t="shared" si="19"/>
        <v>80</v>
      </c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19"/>
        <v>234</v>
      </c>
      <c r="K1165" s="4">
        <f t="shared" si="19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19"/>
        <v>205</v>
      </c>
      <c r="K1166" s="4">
        <f t="shared" si="19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19"/>
        <v>252</v>
      </c>
      <c r="K1167" s="4">
        <f t="shared" si="19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19"/>
        <v>278</v>
      </c>
      <c r="K1168" s="4">
        <f t="shared" si="19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19"/>
        <v>257</v>
      </c>
      <c r="K1169" s="4">
        <f t="shared" si="19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19"/>
        <v>254</v>
      </c>
      <c r="K1170" s="4">
        <f t="shared" si="19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19"/>
        <v>65</v>
      </c>
      <c r="K1171" s="4">
        <f t="shared" si="19"/>
        <v>86</v>
      </c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19"/>
        <v>245</v>
      </c>
      <c r="K1172" s="4">
        <f t="shared" si="19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19"/>
        <v>212</v>
      </c>
      <c r="K1173" s="4">
        <f t="shared" si="19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19"/>
        <v>197</v>
      </c>
      <c r="K1174" s="4">
        <f t="shared" si="19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19"/>
        <v>68</v>
      </c>
      <c r="K1175" s="4">
        <f t="shared" si="19"/>
        <v>78</v>
      </c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19"/>
        <v>265</v>
      </c>
      <c r="K1176" s="4">
        <f t="shared" si="19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19"/>
        <v>280</v>
      </c>
      <c r="K1177" s="4">
        <f t="shared" si="19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19"/>
        <v>76</v>
      </c>
      <c r="K1178" s="4">
        <f t="shared" si="19"/>
        <v>83</v>
      </c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19"/>
        <v>226</v>
      </c>
      <c r="K1179" s="4">
        <f t="shared" si="19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19"/>
        <v>227</v>
      </c>
      <c r="K1180" s="4">
        <f t="shared" si="19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19"/>
        <v>165</v>
      </c>
      <c r="K1181" s="4">
        <f t="shared" si="19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19"/>
        <v>231</v>
      </c>
      <c r="K1182" s="4">
        <f t="shared" si="19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19"/>
        <v>254</v>
      </c>
      <c r="K1183" s="4">
        <f t="shared" si="19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19"/>
        <v>272</v>
      </c>
      <c r="K1184" s="4">
        <f t="shared" si="19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19"/>
        <v>131</v>
      </c>
      <c r="K1185" s="4">
        <f t="shared" si="19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0">SUM(B1186,D1186,F1186,H1186)</f>
        <v>201</v>
      </c>
      <c r="K1186" s="4">
        <f t="shared" si="20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0"/>
        <v>214</v>
      </c>
      <c r="K1187" s="4">
        <f t="shared" si="20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0"/>
        <v>252</v>
      </c>
      <c r="K1188" s="4">
        <f t="shared" si="20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0"/>
        <v>210</v>
      </c>
      <c r="K1189" s="4">
        <f t="shared" si="20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0"/>
        <v>145</v>
      </c>
      <c r="K1190" s="4">
        <f t="shared" si="20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0"/>
        <v>181</v>
      </c>
      <c r="K1191" s="4">
        <f t="shared" si="20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0"/>
        <v>113</v>
      </c>
      <c r="K1192" s="4">
        <f t="shared" si="20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0"/>
        <v>89</v>
      </c>
      <c r="K1193" s="4">
        <f t="shared" si="20"/>
        <v>102</v>
      </c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0"/>
        <v>276</v>
      </c>
      <c r="K1194" s="4">
        <f t="shared" si="20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0"/>
        <v>255</v>
      </c>
      <c r="K1195" s="4">
        <f t="shared" si="20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0"/>
        <v>310</v>
      </c>
      <c r="K1196" s="4">
        <f t="shared" si="20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0"/>
        <v>257</v>
      </c>
      <c r="K1197" s="4">
        <f t="shared" si="20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0"/>
        <v>279</v>
      </c>
      <c r="K1198" s="4">
        <f t="shared" si="20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0"/>
        <v>198</v>
      </c>
      <c r="K1199" s="4">
        <f t="shared" si="20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0"/>
        <v>142</v>
      </c>
      <c r="K1200" s="4">
        <f t="shared" si="20"/>
        <v>180</v>
      </c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0"/>
        <v>290</v>
      </c>
      <c r="K1201" s="4">
        <f t="shared" si="20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0"/>
        <v>263</v>
      </c>
      <c r="K1202" s="4">
        <f t="shared" si="20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0"/>
        <v>307</v>
      </c>
      <c r="K1203" s="4">
        <f t="shared" si="20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0"/>
        <v>303</v>
      </c>
      <c r="K1204" s="4">
        <f t="shared" si="20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0"/>
        <v>376</v>
      </c>
      <c r="K1205" s="4">
        <f t="shared" si="20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0"/>
        <v>215</v>
      </c>
      <c r="K1206" s="4">
        <f t="shared" si="20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0"/>
        <v>337</v>
      </c>
      <c r="K1207" s="4">
        <f t="shared" si="20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0"/>
        <v>217</v>
      </c>
      <c r="K1208" s="4">
        <f t="shared" si="20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0"/>
        <v>274</v>
      </c>
      <c r="K1209" s="4">
        <f t="shared" si="20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0"/>
        <v>332</v>
      </c>
      <c r="K1210" s="4">
        <f t="shared" si="20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0"/>
        <v>290</v>
      </c>
      <c r="K1211" s="4">
        <f t="shared" si="20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0"/>
        <v>269</v>
      </c>
      <c r="K1212" s="4">
        <f t="shared" si="20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0"/>
        <v>113</v>
      </c>
      <c r="K1213" s="4">
        <f t="shared" si="20"/>
        <v>157</v>
      </c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0"/>
        <v>288</v>
      </c>
      <c r="K1214" s="4">
        <f t="shared" si="20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0"/>
        <v>224</v>
      </c>
      <c r="K1215" s="4">
        <f t="shared" si="20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0"/>
        <v>236</v>
      </c>
      <c r="K1216" s="4">
        <f t="shared" si="20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0"/>
        <v>230</v>
      </c>
      <c r="K1217" s="4">
        <f t="shared" si="20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1">SUM(B1218,D1218,F1218,H1218)</f>
        <v>99</v>
      </c>
      <c r="K1218" s="4">
        <f t="shared" si="21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1"/>
        <v>405</v>
      </c>
      <c r="K1219" s="4">
        <f t="shared" si="21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1"/>
        <v>91</v>
      </c>
      <c r="K1220" s="4">
        <f t="shared" si="21"/>
        <v>120</v>
      </c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1"/>
        <v>279</v>
      </c>
      <c r="K1221" s="4">
        <f t="shared" si="21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1"/>
        <v>238</v>
      </c>
      <c r="K1222" s="4">
        <f t="shared" si="21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1"/>
        <v>228</v>
      </c>
      <c r="K1223" s="4">
        <f t="shared" si="21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1"/>
        <v>200</v>
      </c>
      <c r="K1224" s="4">
        <f t="shared" si="21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1"/>
        <v>245</v>
      </c>
      <c r="K1225" s="4">
        <f t="shared" si="21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1"/>
        <v>277</v>
      </c>
      <c r="K1226" s="4">
        <f t="shared" si="21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1"/>
        <v>86</v>
      </c>
      <c r="K1227" s="4">
        <f t="shared" si="21"/>
        <v>100</v>
      </c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1"/>
        <v>339</v>
      </c>
      <c r="K1228" s="4">
        <f t="shared" si="21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1"/>
        <v>317</v>
      </c>
      <c r="K1229" s="4">
        <f t="shared" si="21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1"/>
        <v>348</v>
      </c>
      <c r="K1230" s="4">
        <f t="shared" si="21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1"/>
        <v>357</v>
      </c>
      <c r="K1231" s="4">
        <f t="shared" si="21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1"/>
        <v>363</v>
      </c>
      <c r="K1232" s="4">
        <f t="shared" si="21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1"/>
        <v>387</v>
      </c>
      <c r="K1233" s="4">
        <f t="shared" si="21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1"/>
        <v>243</v>
      </c>
      <c r="K1234" s="4">
        <f t="shared" si="21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1"/>
        <v>269</v>
      </c>
      <c r="K1235" s="4">
        <f t="shared" si="21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1"/>
        <v>246</v>
      </c>
      <c r="K1236" s="4">
        <f t="shared" si="21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1"/>
        <v>248</v>
      </c>
      <c r="K1237" s="4">
        <f t="shared" si="21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1"/>
        <v>303</v>
      </c>
      <c r="K1238" s="4">
        <f t="shared" si="21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1"/>
        <v>279</v>
      </c>
      <c r="K1239" s="4">
        <f t="shared" si="21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1"/>
        <v>328</v>
      </c>
      <c r="K1240" s="4">
        <f t="shared" si="21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1"/>
        <v>143</v>
      </c>
      <c r="K1241" s="4">
        <f t="shared" si="21"/>
        <v>176</v>
      </c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1"/>
        <v>292</v>
      </c>
      <c r="K1242" s="4">
        <f t="shared" si="21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1"/>
        <v>247</v>
      </c>
      <c r="K1243" s="4">
        <f t="shared" si="21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1"/>
        <v>277</v>
      </c>
      <c r="K1244" s="4">
        <f t="shared" si="21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1"/>
        <v>254</v>
      </c>
      <c r="K1245" s="4">
        <f t="shared" si="21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1"/>
        <v>231</v>
      </c>
      <c r="K1246" s="4">
        <f t="shared" si="21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1"/>
        <v>281</v>
      </c>
      <c r="K1247" s="4">
        <f t="shared" si="21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1"/>
        <v>75</v>
      </c>
      <c r="K1248" s="4">
        <f t="shared" si="21"/>
        <v>92</v>
      </c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1"/>
        <v>314</v>
      </c>
      <c r="K1249" s="4">
        <f t="shared" si="21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2">SUM(B1250,D1250,F1250,H1250)</f>
        <v>270</v>
      </c>
      <c r="K1250" s="4">
        <f t="shared" si="22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2"/>
        <v>309</v>
      </c>
      <c r="K1251" s="4">
        <f t="shared" si="22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2"/>
        <v>235</v>
      </c>
      <c r="K1252" s="4">
        <f t="shared" si="22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2"/>
        <v>268</v>
      </c>
      <c r="K1253" s="4">
        <f t="shared" si="22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2"/>
        <v>229</v>
      </c>
      <c r="K1254" s="4">
        <f t="shared" si="22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2"/>
        <v>80</v>
      </c>
      <c r="K1255" s="4">
        <f t="shared" si="22"/>
        <v>110</v>
      </c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2"/>
        <v>238</v>
      </c>
      <c r="K1256" s="4">
        <f t="shared" si="22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2"/>
        <v>245</v>
      </c>
      <c r="K1257" s="4">
        <f t="shared" si="22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2"/>
        <v>196</v>
      </c>
      <c r="K1258" s="4">
        <f t="shared" si="22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2"/>
        <v>312</v>
      </c>
      <c r="K1259" s="4">
        <f t="shared" si="22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2"/>
        <v>121</v>
      </c>
      <c r="K1260" s="4">
        <f t="shared" si="22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2"/>
        <v>68</v>
      </c>
      <c r="K1261" s="4">
        <f t="shared" si="22"/>
        <v>418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687B-C97F-4539-A736-1A162B7602FD}">
  <dimension ref="A1:O1278"/>
  <sheetViews>
    <sheetView topLeftCell="A117" zoomScale="52" workbookViewId="0">
      <selection sqref="A1:K1254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5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5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105" si="18">SUM(B1090,D1090,F1090,H1090)</f>
        <v>284</v>
      </c>
      <c r="K1090" s="4">
        <f t="shared" si="18"/>
        <v>483</v>
      </c>
    </row>
    <row r="1091" spans="1:15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36"/>
    </row>
    <row r="1092" spans="1:15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5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5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  <c r="O1094" s="34"/>
    </row>
    <row r="1095" spans="1:15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5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5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5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18"/>
        <v>128</v>
      </c>
      <c r="K1098" s="36"/>
    </row>
    <row r="1099" spans="1:15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18"/>
        <v>692</v>
      </c>
      <c r="K1099" s="4">
        <f t="shared" si="18"/>
        <v>1112</v>
      </c>
    </row>
    <row r="1100" spans="1:15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18"/>
        <v>680</v>
      </c>
      <c r="K1100" s="4">
        <f t="shared" si="18"/>
        <v>1266</v>
      </c>
    </row>
    <row r="1101" spans="1:15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18"/>
        <v>601</v>
      </c>
      <c r="K1101" s="4">
        <f t="shared" si="18"/>
        <v>951</v>
      </c>
    </row>
    <row r="1102" spans="1:15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18"/>
        <v>276</v>
      </c>
      <c r="K1102" s="4">
        <f t="shared" si="18"/>
        <v>402</v>
      </c>
    </row>
    <row r="1103" spans="1:15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18"/>
        <v>739</v>
      </c>
      <c r="K1103" s="4">
        <f t="shared" si="18"/>
        <v>821</v>
      </c>
    </row>
    <row r="1104" spans="1:15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18"/>
        <v>1197</v>
      </c>
      <c r="K1104" s="4">
        <f t="shared" si="18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18"/>
        <v>851</v>
      </c>
      <c r="K1105" s="4">
        <f t="shared" si="18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ref="J1106:K1169" si="19">SUM(B1106,D1106,F1106,H1106)</f>
        <v>805</v>
      </c>
      <c r="K1106" s="4">
        <f t="shared" si="19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19"/>
        <v>880</v>
      </c>
      <c r="K1107" s="4">
        <f t="shared" si="19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19"/>
        <v>788</v>
      </c>
      <c r="K1108" s="4">
        <f t="shared" si="19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19"/>
        <v>598</v>
      </c>
      <c r="K1109" s="4">
        <f t="shared" si="19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19"/>
        <v>596</v>
      </c>
      <c r="K1110" s="4">
        <f t="shared" si="19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19"/>
        <v>869</v>
      </c>
      <c r="K1111" s="4">
        <f t="shared" si="19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19"/>
        <v>1045</v>
      </c>
      <c r="K1112" s="4">
        <f t="shared" si="19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19"/>
        <v>937</v>
      </c>
      <c r="K1113" s="4">
        <f t="shared" si="19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19"/>
        <v>1008</v>
      </c>
      <c r="K1114" s="4">
        <f t="shared" si="19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19"/>
        <v>498</v>
      </c>
      <c r="K1115" s="4">
        <f t="shared" si="19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19"/>
        <v>1070</v>
      </c>
      <c r="K1116" s="4">
        <f t="shared" si="19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19"/>
        <v>824</v>
      </c>
      <c r="K1117" s="4">
        <f t="shared" si="19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19"/>
        <v>622</v>
      </c>
      <c r="K1118" s="4">
        <f t="shared" si="19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19"/>
        <v>296</v>
      </c>
      <c r="K1119" s="4">
        <f t="shared" si="19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19"/>
        <v>774</v>
      </c>
      <c r="K1120" s="4">
        <f t="shared" si="19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19"/>
        <v>733</v>
      </c>
      <c r="K1121" s="4">
        <f t="shared" si="19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19"/>
        <v>363</v>
      </c>
      <c r="K1122" s="4">
        <f t="shared" si="19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19"/>
        <v>655</v>
      </c>
      <c r="K1123" s="4">
        <f t="shared" si="19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19"/>
        <v>609</v>
      </c>
      <c r="K1124" s="4">
        <f t="shared" si="19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19"/>
        <v>612</v>
      </c>
      <c r="K1125" s="4">
        <f t="shared" si="19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19"/>
        <v>733</v>
      </c>
      <c r="K1126" s="4">
        <f t="shared" si="19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19"/>
        <v>718</v>
      </c>
      <c r="K1127" s="4">
        <f t="shared" si="19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19"/>
        <v>811</v>
      </c>
      <c r="K1128" s="4">
        <f t="shared" si="19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19"/>
        <v>501</v>
      </c>
      <c r="K1129" s="4">
        <f t="shared" si="19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19"/>
        <v>1000</v>
      </c>
      <c r="K1130" s="4">
        <f t="shared" si="19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19"/>
        <v>716</v>
      </c>
      <c r="K1131" s="4">
        <f t="shared" si="19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19"/>
        <v>563</v>
      </c>
      <c r="K1132" s="4">
        <f t="shared" si="19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19"/>
        <v>714</v>
      </c>
      <c r="K1133" s="4">
        <f t="shared" si="19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19"/>
        <v>568</v>
      </c>
      <c r="K1134" s="4">
        <f t="shared" si="19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19"/>
        <v>726</v>
      </c>
      <c r="K1135" s="4">
        <f t="shared" si="19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19"/>
        <v>402</v>
      </c>
      <c r="K1136" s="4">
        <f t="shared" si="19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19"/>
        <v>640</v>
      </c>
      <c r="K1137" s="4">
        <f t="shared" si="19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19"/>
        <v>687</v>
      </c>
      <c r="K1138" s="4">
        <f t="shared" si="19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19"/>
        <v>527</v>
      </c>
      <c r="K1139" s="4">
        <f t="shared" si="19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19"/>
        <v>833</v>
      </c>
      <c r="K1140" s="4">
        <f t="shared" si="19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19"/>
        <v>739</v>
      </c>
      <c r="K1141" s="4">
        <f t="shared" si="19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19"/>
        <v>708</v>
      </c>
      <c r="K1142" s="4">
        <f t="shared" si="19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19"/>
        <v>417</v>
      </c>
      <c r="K1143" s="4">
        <f t="shared" si="19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19"/>
        <v>869</v>
      </c>
      <c r="K1144" s="4">
        <f t="shared" si="19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19"/>
        <v>644</v>
      </c>
      <c r="K1145" s="4">
        <f t="shared" si="19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19"/>
        <v>577</v>
      </c>
      <c r="K1146" s="4">
        <f t="shared" si="19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19"/>
        <v>703</v>
      </c>
      <c r="K1147" s="4">
        <f t="shared" si="19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19"/>
        <v>672</v>
      </c>
      <c r="K1148" s="4">
        <f t="shared" si="19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19"/>
        <v>644</v>
      </c>
      <c r="K1149" s="4">
        <f t="shared" si="19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19"/>
        <v>369</v>
      </c>
      <c r="K1150" s="4">
        <f t="shared" si="19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19"/>
        <v>515</v>
      </c>
      <c r="K1151" s="4">
        <f t="shared" si="19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19"/>
        <v>613</v>
      </c>
      <c r="K1152" s="4">
        <f t="shared" si="19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19"/>
        <v>522</v>
      </c>
      <c r="K1153" s="4">
        <f t="shared" si="19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si="19"/>
        <v>503</v>
      </c>
      <c r="K1154" s="4">
        <f t="shared" si="19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19"/>
        <v>601</v>
      </c>
      <c r="K1155" s="4">
        <f t="shared" si="19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19"/>
        <v>665</v>
      </c>
      <c r="K1156" s="4">
        <f t="shared" si="19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19"/>
        <v>150</v>
      </c>
      <c r="K1157" s="36"/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19"/>
        <v>342</v>
      </c>
      <c r="K1158" s="4">
        <f t="shared" si="19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19"/>
        <v>372</v>
      </c>
      <c r="K1159" s="4">
        <f t="shared" si="19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19"/>
        <v>323</v>
      </c>
      <c r="K1160" s="4">
        <f t="shared" si="19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19"/>
        <v>294</v>
      </c>
      <c r="K1161" s="4">
        <f t="shared" si="19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19"/>
        <v>303</v>
      </c>
      <c r="K1162" s="4">
        <f t="shared" si="19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19"/>
        <v>312</v>
      </c>
      <c r="K1163" s="4">
        <f t="shared" si="19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19"/>
        <v>54</v>
      </c>
      <c r="K1164" s="36"/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19"/>
        <v>234</v>
      </c>
      <c r="K1165" s="4">
        <f t="shared" si="19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19"/>
        <v>205</v>
      </c>
      <c r="K1166" s="4">
        <f t="shared" si="19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19"/>
        <v>252</v>
      </c>
      <c r="K1167" s="4">
        <f t="shared" si="19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19"/>
        <v>278</v>
      </c>
      <c r="K1168" s="4">
        <f t="shared" si="19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19"/>
        <v>257</v>
      </c>
      <c r="K1169" s="4">
        <f t="shared" si="19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ref="J1170:K1187" si="20">SUM(B1170,D1170,F1170,H1170)</f>
        <v>254</v>
      </c>
      <c r="K1170" s="4">
        <f t="shared" si="20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20"/>
        <v>65</v>
      </c>
      <c r="K1171" s="36"/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20"/>
        <v>245</v>
      </c>
      <c r="K1172" s="4">
        <f t="shared" si="20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20"/>
        <v>212</v>
      </c>
      <c r="K1173" s="4">
        <f t="shared" si="20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20"/>
        <v>197</v>
      </c>
      <c r="K1174" s="4">
        <f t="shared" si="20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20"/>
        <v>68</v>
      </c>
      <c r="K1175" s="35"/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20"/>
        <v>265</v>
      </c>
      <c r="K1176" s="4">
        <f t="shared" si="20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20"/>
        <v>280</v>
      </c>
      <c r="K1177" s="4">
        <f t="shared" si="20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20"/>
        <v>76</v>
      </c>
      <c r="K1178" s="36"/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20"/>
        <v>226</v>
      </c>
      <c r="K1179" s="4">
        <f t="shared" si="20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20"/>
        <v>227</v>
      </c>
      <c r="K1180" s="4">
        <f t="shared" si="20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20"/>
        <v>165</v>
      </c>
      <c r="K1181" s="4">
        <f t="shared" si="20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20"/>
        <v>231</v>
      </c>
      <c r="K1182" s="4">
        <f t="shared" si="20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20"/>
        <v>254</v>
      </c>
      <c r="K1183" s="4">
        <f t="shared" si="20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20"/>
        <v>272</v>
      </c>
      <c r="K1184" s="4">
        <f t="shared" si="20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20"/>
        <v>131</v>
      </c>
      <c r="K1185" s="4">
        <f t="shared" si="20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si="20"/>
        <v>201</v>
      </c>
      <c r="K1186" s="4">
        <f t="shared" si="20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0"/>
        <v>214</v>
      </c>
      <c r="K1187" s="4">
        <f t="shared" si="20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ref="J1188:K1216" si="21">SUM(B1188,D1188,F1188,H1188)</f>
        <v>252</v>
      </c>
      <c r="K1188" s="4">
        <f t="shared" si="21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1"/>
        <v>210</v>
      </c>
      <c r="K1189" s="4">
        <f t="shared" si="21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1"/>
        <v>145</v>
      </c>
      <c r="K1190" s="4">
        <f t="shared" si="21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1"/>
        <v>181</v>
      </c>
      <c r="K1191" s="4">
        <f t="shared" si="21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1"/>
        <v>113</v>
      </c>
      <c r="K1192" s="4">
        <f t="shared" si="21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1"/>
        <v>89</v>
      </c>
      <c r="K1193" s="4">
        <f t="shared" si="21"/>
        <v>102</v>
      </c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1"/>
        <v>276</v>
      </c>
      <c r="K1194" s="4">
        <f t="shared" si="21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1"/>
        <v>255</v>
      </c>
      <c r="K1195" s="4">
        <f t="shared" si="21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1"/>
        <v>310</v>
      </c>
      <c r="K1196" s="4">
        <f t="shared" si="21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1"/>
        <v>257</v>
      </c>
      <c r="K1197" s="4">
        <f t="shared" si="21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1"/>
        <v>279</v>
      </c>
      <c r="K1198" s="4">
        <f t="shared" si="21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1"/>
        <v>198</v>
      </c>
      <c r="K1199" s="4">
        <f t="shared" si="21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1"/>
        <v>142</v>
      </c>
      <c r="K1200" s="4">
        <f t="shared" si="21"/>
        <v>180</v>
      </c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1"/>
        <v>290</v>
      </c>
      <c r="K1201" s="4">
        <f t="shared" si="21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1"/>
        <v>263</v>
      </c>
      <c r="K1202" s="4">
        <f t="shared" si="21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1"/>
        <v>307</v>
      </c>
      <c r="K1203" s="4">
        <f t="shared" si="21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1"/>
        <v>303</v>
      </c>
      <c r="K1204" s="4">
        <f t="shared" si="21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1"/>
        <v>376</v>
      </c>
      <c r="K1205" s="4">
        <f t="shared" si="21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1"/>
        <v>215</v>
      </c>
      <c r="K1206" s="4">
        <f t="shared" si="21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1"/>
        <v>337</v>
      </c>
      <c r="K1207" s="4">
        <f t="shared" si="21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1"/>
        <v>217</v>
      </c>
      <c r="K1208" s="4">
        <f t="shared" si="21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1"/>
        <v>274</v>
      </c>
      <c r="K1209" s="4">
        <f t="shared" si="21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1"/>
        <v>332</v>
      </c>
      <c r="K1210" s="4">
        <f t="shared" si="21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1"/>
        <v>290</v>
      </c>
      <c r="K1211" s="4">
        <f t="shared" si="21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1"/>
        <v>269</v>
      </c>
      <c r="K1212" s="4">
        <f t="shared" si="21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1"/>
        <v>113</v>
      </c>
      <c r="K1213" s="4">
        <f t="shared" si="21"/>
        <v>157</v>
      </c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1"/>
        <v>288</v>
      </c>
      <c r="K1214" s="4">
        <f t="shared" si="21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1"/>
        <v>224</v>
      </c>
      <c r="K1215" s="4">
        <f t="shared" si="21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1"/>
        <v>236</v>
      </c>
      <c r="K1216" s="4">
        <f t="shared" si="21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ref="J1217:K1232" si="22">SUM(B1217,D1217,F1217,H1217)</f>
        <v>230</v>
      </c>
      <c r="K1217" s="4">
        <f t="shared" si="22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si="22"/>
        <v>99</v>
      </c>
      <c r="K1218" s="4">
        <f t="shared" si="22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2"/>
        <v>405</v>
      </c>
      <c r="K1219" s="4">
        <f t="shared" si="22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2"/>
        <v>91</v>
      </c>
      <c r="K1220" s="4">
        <f t="shared" si="22"/>
        <v>120</v>
      </c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2"/>
        <v>279</v>
      </c>
      <c r="K1221" s="4">
        <f t="shared" si="22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2"/>
        <v>238</v>
      </c>
      <c r="K1222" s="4">
        <f t="shared" si="22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2"/>
        <v>228</v>
      </c>
      <c r="K1223" s="4">
        <f t="shared" si="22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2"/>
        <v>200</v>
      </c>
      <c r="K1224" s="4">
        <f t="shared" si="22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2"/>
        <v>245</v>
      </c>
      <c r="K1225" s="4">
        <f t="shared" si="22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2"/>
        <v>277</v>
      </c>
      <c r="K1226" s="4">
        <f t="shared" si="22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2"/>
        <v>86</v>
      </c>
      <c r="K1227" s="4">
        <f t="shared" si="22"/>
        <v>100</v>
      </c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2"/>
        <v>339</v>
      </c>
      <c r="K1228" s="4">
        <f t="shared" si="22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2"/>
        <v>317</v>
      </c>
      <c r="K1229" s="4">
        <f t="shared" si="22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2"/>
        <v>348</v>
      </c>
      <c r="K1230" s="4">
        <f t="shared" si="22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2"/>
        <v>357</v>
      </c>
      <c r="K1231" s="4">
        <f t="shared" si="22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2"/>
        <v>363</v>
      </c>
      <c r="K1232" s="4">
        <f t="shared" si="22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ref="J1233:K1247" si="23">SUM(B1233,D1233,F1233,H1233)</f>
        <v>387</v>
      </c>
      <c r="K1233" s="4">
        <f t="shared" si="23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3"/>
        <v>243</v>
      </c>
      <c r="K1234" s="4">
        <f t="shared" si="23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3"/>
        <v>269</v>
      </c>
      <c r="K1235" s="4">
        <f t="shared" si="23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3"/>
        <v>246</v>
      </c>
      <c r="K1236" s="4">
        <f t="shared" si="23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3"/>
        <v>248</v>
      </c>
      <c r="K1237" s="4">
        <f t="shared" si="23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3"/>
        <v>303</v>
      </c>
      <c r="K1238" s="4">
        <f t="shared" si="23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3"/>
        <v>279</v>
      </c>
      <c r="K1239" s="4">
        <f t="shared" si="23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3"/>
        <v>328</v>
      </c>
      <c r="K1240" s="4">
        <f t="shared" si="23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3"/>
        <v>143</v>
      </c>
      <c r="K1241" s="4">
        <f t="shared" si="23"/>
        <v>176</v>
      </c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3"/>
        <v>292</v>
      </c>
      <c r="K1242" s="4">
        <f t="shared" si="23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3"/>
        <v>247</v>
      </c>
      <c r="K1243" s="4">
        <f t="shared" si="23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3"/>
        <v>277</v>
      </c>
      <c r="K1244" s="4">
        <f t="shared" si="23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3"/>
        <v>254</v>
      </c>
      <c r="K1245" s="4">
        <f t="shared" si="23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3"/>
        <v>231</v>
      </c>
      <c r="K1246" s="4">
        <f t="shared" si="23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3"/>
        <v>281</v>
      </c>
      <c r="K1247" s="4">
        <f t="shared" si="23"/>
        <v>656</v>
      </c>
    </row>
    <row r="1248" spans="1:11">
      <c r="A1248" s="1"/>
      <c r="B1248" s="4"/>
      <c r="C1248" s="4"/>
      <c r="D1248" s="4"/>
      <c r="E1248" s="4"/>
      <c r="F1248" s="4"/>
      <c r="G1248" s="4"/>
      <c r="H1248" s="4"/>
      <c r="I1248" s="4"/>
      <c r="J1248" s="4"/>
      <c r="K1248" s="36"/>
    </row>
    <row r="1249" spans="1:11">
      <c r="A1249" s="1"/>
      <c r="B1249" s="4"/>
      <c r="C1249" s="4"/>
      <c r="D1249" s="4"/>
      <c r="E1249" s="4"/>
      <c r="F1249" s="4"/>
      <c r="G1249" s="4"/>
      <c r="H1249" s="4"/>
      <c r="I1249" s="4"/>
      <c r="J1249" s="4"/>
      <c r="K1249" s="4"/>
    </row>
    <row r="1250" spans="1:11">
      <c r="A1250" s="1"/>
      <c r="B1250" s="4"/>
      <c r="C1250" s="4"/>
      <c r="D1250" s="4"/>
      <c r="E1250" s="4"/>
      <c r="F1250" s="4"/>
      <c r="G1250" s="4"/>
      <c r="H1250" s="4"/>
      <c r="I1250" s="4"/>
      <c r="J1250" s="4"/>
      <c r="K1250" s="4"/>
    </row>
    <row r="1251" spans="1:11">
      <c r="A1251" s="1"/>
      <c r="B1251" s="4"/>
      <c r="C1251" s="4"/>
      <c r="D1251" s="4"/>
      <c r="E1251" s="4"/>
      <c r="F1251" s="4"/>
      <c r="G1251" s="4"/>
      <c r="H1251" s="4"/>
      <c r="I1251" s="4"/>
      <c r="J1251" s="4"/>
      <c r="K1251" s="4"/>
    </row>
    <row r="1252" spans="1:11">
      <c r="A1252" s="1"/>
      <c r="B1252" s="4"/>
      <c r="C1252" s="4"/>
      <c r="D1252" s="4"/>
      <c r="E1252" s="4"/>
      <c r="F1252" s="4"/>
      <c r="G1252" s="4"/>
      <c r="H1252" s="4"/>
      <c r="I1252" s="4"/>
      <c r="J1252" s="4"/>
      <c r="K1252" s="4"/>
    </row>
    <row r="1253" spans="1:11">
      <c r="A1253" s="1"/>
      <c r="B1253" s="4"/>
      <c r="C1253" s="4"/>
      <c r="D1253" s="4"/>
      <c r="E1253" s="4"/>
      <c r="F1253" s="4"/>
      <c r="G1253" s="4"/>
      <c r="H1253" s="4"/>
      <c r="I1253" s="4"/>
      <c r="J1253" s="4"/>
      <c r="K1253" s="4"/>
    </row>
    <row r="1254" spans="1:11">
      <c r="A1254" s="1"/>
      <c r="B1254" s="4"/>
      <c r="C1254" s="4"/>
      <c r="D1254" s="4"/>
      <c r="E1254" s="4"/>
      <c r="F1254" s="4"/>
      <c r="G1254" s="4"/>
      <c r="H1254" s="4"/>
      <c r="I1254" s="4"/>
      <c r="J1254" s="4"/>
      <c r="K1254" s="4"/>
    </row>
    <row r="1255" spans="1:11">
      <c r="A1255" s="1"/>
      <c r="B1255" s="4"/>
      <c r="C1255" s="4"/>
      <c r="D1255" s="4"/>
      <c r="E1255" s="4"/>
      <c r="F1255" s="4"/>
      <c r="G1255" s="4"/>
      <c r="H1255" s="4"/>
      <c r="I1255" s="4"/>
      <c r="J1255" s="4"/>
      <c r="K1255" s="36"/>
    </row>
    <row r="1256" spans="1:11">
      <c r="A1256" s="1"/>
      <c r="B1256" s="4"/>
      <c r="C1256" s="4"/>
      <c r="D1256" s="4"/>
      <c r="E1256" s="4"/>
      <c r="F1256" s="4"/>
      <c r="G1256" s="4"/>
      <c r="H1256" s="4"/>
      <c r="I1256" s="4"/>
      <c r="J1256" s="4"/>
      <c r="K1256" s="4"/>
    </row>
    <row r="1257" spans="1:11">
      <c r="A1257" s="1"/>
      <c r="B1257" s="4"/>
      <c r="C1257" s="4"/>
      <c r="D1257" s="4"/>
      <c r="E1257" s="4"/>
      <c r="F1257" s="4"/>
      <c r="G1257" s="4"/>
      <c r="H1257" s="4"/>
      <c r="I1257" s="4"/>
      <c r="J1257" s="4"/>
      <c r="K1257" s="4"/>
    </row>
    <row r="1258" spans="1:11">
      <c r="A1258" s="1"/>
      <c r="B1258" s="4"/>
      <c r="C1258" s="4"/>
      <c r="D1258" s="4"/>
      <c r="E1258" s="4"/>
      <c r="F1258" s="4"/>
      <c r="G1258" s="4"/>
      <c r="H1258" s="4"/>
      <c r="I1258" s="4"/>
      <c r="J1258" s="4"/>
      <c r="K1258" s="4"/>
    </row>
    <row r="1259" spans="1:11">
      <c r="A1259" s="1"/>
      <c r="B1259" s="4"/>
      <c r="C1259" s="4"/>
      <c r="D1259" s="4"/>
      <c r="E1259" s="4"/>
      <c r="F1259" s="4"/>
      <c r="G1259" s="4"/>
      <c r="H1259" s="4"/>
      <c r="I1259" s="4"/>
      <c r="J1259" s="4"/>
      <c r="K1259" s="4"/>
    </row>
    <row r="1260" spans="1:11">
      <c r="A1260" s="1"/>
      <c r="B1260" s="4"/>
      <c r="C1260" s="4"/>
      <c r="D1260" s="4"/>
      <c r="E1260" s="4"/>
      <c r="F1260" s="4"/>
      <c r="G1260" s="4"/>
      <c r="H1260" s="4"/>
      <c r="I1260" s="4"/>
      <c r="J1260" s="4"/>
      <c r="K1260" s="4"/>
    </row>
    <row r="1261" spans="1:11">
      <c r="A1261" s="1"/>
      <c r="B1261" s="4"/>
      <c r="C1261" s="4"/>
      <c r="D1261" s="4"/>
      <c r="E1261" s="4"/>
      <c r="F1261" s="4"/>
      <c r="G1261" s="4"/>
      <c r="H1261" s="4"/>
      <c r="I1261" s="4"/>
      <c r="J1261" s="4"/>
      <c r="K1261" s="4"/>
    </row>
    <row r="1262" spans="1:11">
      <c r="A1262" s="1"/>
      <c r="B1262" s="4"/>
      <c r="C1262" s="4"/>
      <c r="D1262" s="4"/>
      <c r="E1262" s="4"/>
      <c r="F1262" s="4"/>
      <c r="G1262" s="4"/>
      <c r="H1262" s="4"/>
      <c r="I1262" s="4"/>
      <c r="J1262" s="4"/>
      <c r="K1262" s="4"/>
    </row>
    <row r="1263" spans="1:11">
      <c r="A1263" s="1"/>
      <c r="B1263" s="4"/>
      <c r="C1263" s="4"/>
      <c r="D1263" s="4"/>
      <c r="E1263" s="4"/>
      <c r="F1263" s="4"/>
      <c r="G1263" s="4"/>
      <c r="H1263" s="4"/>
      <c r="I1263" s="4"/>
      <c r="J1263" s="4"/>
      <c r="K1263" s="4"/>
    </row>
    <row r="1264" spans="1:11">
      <c r="A1264" s="1"/>
      <c r="B1264" s="4"/>
      <c r="C1264" s="4"/>
      <c r="D1264" s="4"/>
      <c r="E1264" s="4"/>
      <c r="F1264" s="4"/>
      <c r="G1264" s="4"/>
      <c r="H1264" s="4"/>
      <c r="I1264" s="4"/>
      <c r="J1264" s="4"/>
      <c r="K1264" s="4"/>
    </row>
    <row r="1265" spans="1:14">
      <c r="A1265" s="1"/>
      <c r="B1265" s="4"/>
      <c r="C1265" s="4"/>
      <c r="D1265" s="4"/>
      <c r="E1265" s="4"/>
      <c r="F1265" s="4"/>
      <c r="G1265" s="4"/>
      <c r="H1265" s="4"/>
      <c r="I1265" s="4"/>
      <c r="J1265" s="4"/>
      <c r="K1265" s="4"/>
      <c r="N1265" s="34"/>
    </row>
    <row r="1266" spans="1:14">
      <c r="A1266" s="1"/>
      <c r="B1266" s="4"/>
      <c r="C1266" s="4"/>
      <c r="D1266" s="4"/>
      <c r="E1266" s="4"/>
      <c r="F1266" s="4"/>
      <c r="G1266" s="4"/>
      <c r="H1266" s="4"/>
      <c r="I1266" s="4"/>
      <c r="J1266" s="4"/>
      <c r="K1266" s="4"/>
    </row>
    <row r="1267" spans="1:14">
      <c r="A1267" s="1"/>
      <c r="B1267" s="4"/>
      <c r="C1267" s="4"/>
      <c r="D1267" s="4"/>
      <c r="E1267" s="4"/>
      <c r="F1267" s="4"/>
      <c r="G1267" s="4"/>
      <c r="H1267" s="4"/>
      <c r="I1267" s="4"/>
      <c r="J1267" s="4"/>
      <c r="K1267" s="4"/>
    </row>
    <row r="1268" spans="1:14">
      <c r="A1268" s="1"/>
      <c r="B1268" s="4"/>
      <c r="C1268" s="4"/>
      <c r="D1268" s="4"/>
      <c r="E1268" s="4"/>
      <c r="F1268" s="4"/>
      <c r="G1268" s="4"/>
      <c r="H1268" s="4"/>
      <c r="I1268" s="4"/>
      <c r="J1268" s="4"/>
      <c r="K1268" s="4"/>
    </row>
    <row r="1269" spans="1:14">
      <c r="A1269" s="1"/>
      <c r="B1269" s="4"/>
      <c r="C1269" s="4"/>
      <c r="D1269" s="4"/>
      <c r="E1269" s="4"/>
      <c r="F1269" s="4"/>
      <c r="G1269" s="4"/>
      <c r="H1269" s="4"/>
      <c r="I1269" s="4"/>
      <c r="J1269" s="4"/>
      <c r="K1269" s="4"/>
    </row>
    <row r="1270" spans="1:14">
      <c r="A1270" s="1"/>
      <c r="B1270" s="4"/>
      <c r="C1270" s="4"/>
      <c r="D1270" s="4"/>
      <c r="E1270" s="4"/>
      <c r="F1270" s="4"/>
      <c r="G1270" s="4"/>
      <c r="H1270" s="4"/>
      <c r="I1270" s="4"/>
      <c r="J1270" s="4"/>
      <c r="K1270" s="4"/>
    </row>
    <row r="1271" spans="1:14">
      <c r="A1271" s="1"/>
      <c r="B1271" s="4"/>
      <c r="C1271" s="4"/>
      <c r="D1271" s="4"/>
      <c r="E1271" s="4"/>
      <c r="F1271" s="4"/>
      <c r="G1271" s="4"/>
      <c r="H1271" s="4"/>
      <c r="I1271" s="4"/>
      <c r="J1271" s="4"/>
      <c r="K1271" s="4"/>
    </row>
    <row r="1272" spans="1:14">
      <c r="A1272" s="1"/>
      <c r="B1272" s="4"/>
      <c r="C1272" s="4"/>
      <c r="D1272" s="4"/>
      <c r="E1272" s="4"/>
      <c r="F1272" s="4"/>
      <c r="G1272" s="4"/>
      <c r="H1272" s="4"/>
      <c r="I1272" s="4"/>
      <c r="J1272" s="4"/>
      <c r="K1272" s="4"/>
    </row>
    <row r="1273" spans="1:14">
      <c r="A1273" s="1"/>
      <c r="B1273" s="4"/>
      <c r="C1273" s="4"/>
      <c r="D1273" s="4"/>
      <c r="E1273" s="4"/>
      <c r="F1273" s="4"/>
      <c r="G1273" s="4"/>
      <c r="H1273" s="4"/>
      <c r="I1273" s="4"/>
      <c r="J1273" s="4"/>
      <c r="K1273" s="4"/>
    </row>
    <row r="1274" spans="1:14">
      <c r="A1274" s="1"/>
      <c r="B1274" s="4"/>
      <c r="C1274" s="4"/>
      <c r="D1274" s="4"/>
      <c r="E1274" s="4"/>
      <c r="F1274" s="4"/>
      <c r="G1274" s="4"/>
      <c r="H1274" s="4"/>
      <c r="I1274" s="4"/>
      <c r="J1274" s="4"/>
      <c r="K1274" s="4"/>
    </row>
    <row r="1275" spans="1:14">
      <c r="A1275" s="1"/>
      <c r="B1275" s="4"/>
      <c r="C1275" s="4"/>
      <c r="D1275" s="4"/>
      <c r="E1275" s="4"/>
      <c r="F1275" s="4"/>
      <c r="G1275" s="4"/>
      <c r="H1275" s="4"/>
      <c r="I1275" s="4"/>
      <c r="J1275" s="4"/>
      <c r="K1275" s="4"/>
    </row>
    <row r="1276" spans="1:14">
      <c r="A1276" s="1"/>
      <c r="B1276" s="4"/>
      <c r="C1276" s="4"/>
      <c r="D1276" s="4"/>
      <c r="E1276" s="4"/>
      <c r="F1276" s="4"/>
      <c r="G1276" s="4"/>
      <c r="H1276" s="4"/>
      <c r="I1276" s="4"/>
      <c r="J1276" s="4"/>
      <c r="K1276" s="4"/>
    </row>
    <row r="1277" spans="1:14">
      <c r="A1277" s="1"/>
      <c r="B1277" s="4"/>
      <c r="C1277" s="4"/>
      <c r="D1277" s="4"/>
      <c r="E1277" s="4"/>
      <c r="F1277" s="4"/>
      <c r="G1277" s="4"/>
      <c r="H1277" s="4"/>
      <c r="I1277" s="4"/>
      <c r="J1277" s="4"/>
      <c r="K1277" s="4"/>
    </row>
    <row r="1278" spans="1:14">
      <c r="A1278" s="1"/>
      <c r="B1278" s="4"/>
      <c r="C1278" s="4"/>
      <c r="D1278" s="4"/>
      <c r="E1278" s="4"/>
      <c r="F1278" s="4"/>
      <c r="G1278" s="4"/>
      <c r="H1278" s="4"/>
      <c r="I1278" s="4"/>
      <c r="J1278" s="4"/>
      <c r="K1278" s="4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1B9BF-7FC9-0F49-8B99-1AAB4247B7E2}">
  <dimension ref="A1:O1278"/>
  <sheetViews>
    <sheetView tabSelected="1" topLeftCell="A1241" zoomScale="52" workbookViewId="0">
      <selection activeCell="E1264" sqref="E1264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191</v>
      </c>
      <c r="B1" s="3" t="s">
        <v>192</v>
      </c>
      <c r="C1" s="3" t="s">
        <v>193</v>
      </c>
      <c r="D1" s="5" t="s">
        <v>194</v>
      </c>
      <c r="E1" s="5" t="s">
        <v>195</v>
      </c>
      <c r="F1" s="5" t="s">
        <v>196</v>
      </c>
      <c r="G1" s="5" t="s">
        <v>197</v>
      </c>
      <c r="H1" s="5" t="s">
        <v>198</v>
      </c>
      <c r="I1" s="3" t="s">
        <v>199</v>
      </c>
      <c r="J1" s="6" t="s">
        <v>200</v>
      </c>
      <c r="K1" s="5" t="s">
        <v>201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5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5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153" si="18">SUM(B1090,D1090,F1090,H1090)</f>
        <v>284</v>
      </c>
      <c r="K1090" s="4">
        <f t="shared" si="18"/>
        <v>483</v>
      </c>
    </row>
    <row r="1091" spans="1:15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5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5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5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  <c r="O1094" s="34"/>
    </row>
    <row r="1095" spans="1:15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5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5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5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18"/>
        <v>128</v>
      </c>
      <c r="K1098" s="4">
        <f t="shared" si="18"/>
        <v>165</v>
      </c>
    </row>
    <row r="1099" spans="1:15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18"/>
        <v>692</v>
      </c>
      <c r="K1099" s="4">
        <f t="shared" si="18"/>
        <v>1112</v>
      </c>
    </row>
    <row r="1100" spans="1:15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18"/>
        <v>680</v>
      </c>
      <c r="K1100" s="4">
        <f t="shared" si="18"/>
        <v>1266</v>
      </c>
    </row>
    <row r="1101" spans="1:15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18"/>
        <v>601</v>
      </c>
      <c r="K1101" s="4">
        <f t="shared" si="18"/>
        <v>951</v>
      </c>
    </row>
    <row r="1102" spans="1:15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18"/>
        <v>276</v>
      </c>
      <c r="K1102" s="4">
        <f t="shared" si="18"/>
        <v>402</v>
      </c>
    </row>
    <row r="1103" spans="1:15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18"/>
        <v>739</v>
      </c>
      <c r="K1103" s="4">
        <f t="shared" si="18"/>
        <v>821</v>
      </c>
    </row>
    <row r="1104" spans="1:15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18"/>
        <v>1197</v>
      </c>
      <c r="K1104" s="4">
        <f t="shared" si="18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18"/>
        <v>851</v>
      </c>
      <c r="K1105" s="4">
        <f t="shared" si="18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18"/>
        <v>805</v>
      </c>
      <c r="K1106" s="4">
        <f t="shared" si="18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18"/>
        <v>880</v>
      </c>
      <c r="K1107" s="4">
        <f t="shared" si="18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18"/>
        <v>788</v>
      </c>
      <c r="K1108" s="4">
        <f t="shared" si="18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18"/>
        <v>598</v>
      </c>
      <c r="K1109" s="4">
        <f t="shared" si="18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18"/>
        <v>596</v>
      </c>
      <c r="K1110" s="4">
        <f t="shared" si="18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18"/>
        <v>869</v>
      </c>
      <c r="K1111" s="4">
        <f t="shared" si="18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18"/>
        <v>1045</v>
      </c>
      <c r="K1112" s="4">
        <f t="shared" si="18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18"/>
        <v>937</v>
      </c>
      <c r="K1113" s="4">
        <f t="shared" si="18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18"/>
        <v>1008</v>
      </c>
      <c r="K1114" s="4">
        <f t="shared" si="18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18"/>
        <v>498</v>
      </c>
      <c r="K1115" s="4">
        <f t="shared" si="18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18"/>
        <v>1070</v>
      </c>
      <c r="K1116" s="4">
        <f t="shared" si="18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18"/>
        <v>824</v>
      </c>
      <c r="K1117" s="4">
        <f t="shared" si="18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18"/>
        <v>622</v>
      </c>
      <c r="K1118" s="4">
        <f t="shared" si="18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18"/>
        <v>296</v>
      </c>
      <c r="K1119" s="4">
        <f t="shared" si="18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18"/>
        <v>774</v>
      </c>
      <c r="K1120" s="4">
        <f t="shared" si="18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18"/>
        <v>733</v>
      </c>
      <c r="K1121" s="4">
        <f t="shared" si="18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18"/>
        <v>363</v>
      </c>
      <c r="K1122" s="4">
        <f t="shared" si="18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18"/>
        <v>655</v>
      </c>
      <c r="K1123" s="4">
        <f t="shared" si="18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18"/>
        <v>609</v>
      </c>
      <c r="K1124" s="4">
        <f t="shared" si="18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18"/>
        <v>612</v>
      </c>
      <c r="K1125" s="4">
        <f t="shared" si="18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18"/>
        <v>733</v>
      </c>
      <c r="K1126" s="4">
        <f t="shared" si="18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18"/>
        <v>718</v>
      </c>
      <c r="K1127" s="4">
        <f t="shared" si="18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18"/>
        <v>811</v>
      </c>
      <c r="K1128" s="4">
        <f t="shared" si="18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18"/>
        <v>501</v>
      </c>
      <c r="K1129" s="4">
        <f t="shared" si="18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18"/>
        <v>1000</v>
      </c>
      <c r="K1130" s="4">
        <f t="shared" si="18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18"/>
        <v>716</v>
      </c>
      <c r="K1131" s="4">
        <f t="shared" si="18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18"/>
        <v>563</v>
      </c>
      <c r="K1132" s="4">
        <f t="shared" si="18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18"/>
        <v>714</v>
      </c>
      <c r="K1133" s="4">
        <f t="shared" si="18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18"/>
        <v>568</v>
      </c>
      <c r="K1134" s="4">
        <f t="shared" si="18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18"/>
        <v>726</v>
      </c>
      <c r="K1135" s="4">
        <f t="shared" si="18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18"/>
        <v>402</v>
      </c>
      <c r="K1136" s="4">
        <f t="shared" si="18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18"/>
        <v>640</v>
      </c>
      <c r="K1137" s="4">
        <f t="shared" si="18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18"/>
        <v>687</v>
      </c>
      <c r="K1138" s="4">
        <f t="shared" si="18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18"/>
        <v>527</v>
      </c>
      <c r="K1139" s="4">
        <f t="shared" si="18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18"/>
        <v>833</v>
      </c>
      <c r="K1140" s="4">
        <f t="shared" si="18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18"/>
        <v>739</v>
      </c>
      <c r="K1141" s="4">
        <f t="shared" si="18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18"/>
        <v>708</v>
      </c>
      <c r="K1142" s="4">
        <f t="shared" si="18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18"/>
        <v>417</v>
      </c>
      <c r="K1143" s="4">
        <f t="shared" si="18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18"/>
        <v>869</v>
      </c>
      <c r="K1144" s="4">
        <f t="shared" si="18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18"/>
        <v>644</v>
      </c>
      <c r="K1145" s="4">
        <f t="shared" si="18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18"/>
        <v>577</v>
      </c>
      <c r="K1146" s="4">
        <f t="shared" si="18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18"/>
        <v>703</v>
      </c>
      <c r="K1147" s="4">
        <f t="shared" si="18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18"/>
        <v>672</v>
      </c>
      <c r="K1148" s="4">
        <f t="shared" si="18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18"/>
        <v>644</v>
      </c>
      <c r="K1149" s="4">
        <f t="shared" si="18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18"/>
        <v>369</v>
      </c>
      <c r="K1150" s="4">
        <f t="shared" si="18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18"/>
        <v>515</v>
      </c>
      <c r="K1151" s="4">
        <f t="shared" si="18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18"/>
        <v>613</v>
      </c>
      <c r="K1152" s="4">
        <f t="shared" si="18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18"/>
        <v>522</v>
      </c>
      <c r="K1153" s="4">
        <f t="shared" si="18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19">SUM(B1154,D1154,F1154,H1154)</f>
        <v>503</v>
      </c>
      <c r="K1154" s="4">
        <f t="shared" si="19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19"/>
        <v>601</v>
      </c>
      <c r="K1155" s="4">
        <f t="shared" si="19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19"/>
        <v>665</v>
      </c>
      <c r="K1156" s="4">
        <f t="shared" si="19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19"/>
        <v>150</v>
      </c>
      <c r="K1157" s="4">
        <f t="shared" si="19"/>
        <v>171</v>
      </c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19"/>
        <v>342</v>
      </c>
      <c r="K1158" s="4">
        <f t="shared" si="19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19"/>
        <v>372</v>
      </c>
      <c r="K1159" s="4">
        <f t="shared" si="19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19"/>
        <v>323</v>
      </c>
      <c r="K1160" s="4">
        <f t="shared" si="19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19"/>
        <v>294</v>
      </c>
      <c r="K1161" s="4">
        <f t="shared" si="19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19"/>
        <v>303</v>
      </c>
      <c r="K1162" s="4">
        <f t="shared" si="19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19"/>
        <v>312</v>
      </c>
      <c r="K1163" s="4">
        <f t="shared" si="19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19"/>
        <v>54</v>
      </c>
      <c r="K1164" s="4">
        <f t="shared" si="19"/>
        <v>80</v>
      </c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19"/>
        <v>234</v>
      </c>
      <c r="K1165" s="4">
        <f t="shared" si="19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19"/>
        <v>205</v>
      </c>
      <c r="K1166" s="4">
        <f t="shared" si="19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19"/>
        <v>252</v>
      </c>
      <c r="K1167" s="4">
        <f t="shared" si="19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19"/>
        <v>278</v>
      </c>
      <c r="K1168" s="4">
        <f t="shared" si="19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19"/>
        <v>257</v>
      </c>
      <c r="K1169" s="4">
        <f t="shared" si="19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19"/>
        <v>254</v>
      </c>
      <c r="K1170" s="4">
        <f t="shared" si="19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19"/>
        <v>65</v>
      </c>
      <c r="K1171" s="4">
        <f t="shared" si="19"/>
        <v>86</v>
      </c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19"/>
        <v>245</v>
      </c>
      <c r="K1172" s="4">
        <f t="shared" si="19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19"/>
        <v>212</v>
      </c>
      <c r="K1173" s="4">
        <f t="shared" si="19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19"/>
        <v>197</v>
      </c>
      <c r="K1174" s="4">
        <f t="shared" si="19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19"/>
        <v>68</v>
      </c>
      <c r="K1175" s="4">
        <f t="shared" si="19"/>
        <v>78</v>
      </c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19"/>
        <v>265</v>
      </c>
      <c r="K1176" s="4">
        <f t="shared" si="19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19"/>
        <v>280</v>
      </c>
      <c r="K1177" s="4">
        <f t="shared" si="19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19"/>
        <v>76</v>
      </c>
      <c r="K1178" s="4">
        <f t="shared" si="19"/>
        <v>83</v>
      </c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19"/>
        <v>226</v>
      </c>
      <c r="K1179" s="4">
        <f t="shared" si="19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19"/>
        <v>227</v>
      </c>
      <c r="K1180" s="4">
        <f t="shared" si="19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19"/>
        <v>165</v>
      </c>
      <c r="K1181" s="4">
        <f t="shared" si="19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19"/>
        <v>231</v>
      </c>
      <c r="K1182" s="4">
        <f t="shared" si="19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19"/>
        <v>254</v>
      </c>
      <c r="K1183" s="4">
        <f t="shared" si="19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19"/>
        <v>272</v>
      </c>
      <c r="K1184" s="4">
        <f t="shared" si="19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19"/>
        <v>131</v>
      </c>
      <c r="K1185" s="4">
        <f t="shared" si="19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0">SUM(B1186,D1186,F1186,H1186)</f>
        <v>201</v>
      </c>
      <c r="K1186" s="4">
        <f t="shared" si="20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0"/>
        <v>214</v>
      </c>
      <c r="K1187" s="4">
        <f t="shared" si="20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0"/>
        <v>252</v>
      </c>
      <c r="K1188" s="4">
        <f t="shared" si="20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0"/>
        <v>210</v>
      </c>
      <c r="K1189" s="4">
        <f t="shared" si="20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0"/>
        <v>145</v>
      </c>
      <c r="K1190" s="4">
        <f t="shared" si="20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0"/>
        <v>181</v>
      </c>
      <c r="K1191" s="4">
        <f t="shared" si="20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0"/>
        <v>113</v>
      </c>
      <c r="K1192" s="4">
        <f t="shared" si="20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0"/>
        <v>89</v>
      </c>
      <c r="K1193" s="4">
        <f t="shared" si="20"/>
        <v>102</v>
      </c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0"/>
        <v>276</v>
      </c>
      <c r="K1194" s="4">
        <f t="shared" si="20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0"/>
        <v>255</v>
      </c>
      <c r="K1195" s="4">
        <f t="shared" si="20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0"/>
        <v>310</v>
      </c>
      <c r="K1196" s="4">
        <f t="shared" si="20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0"/>
        <v>257</v>
      </c>
      <c r="K1197" s="4">
        <f t="shared" si="20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0"/>
        <v>279</v>
      </c>
      <c r="K1198" s="4">
        <f t="shared" si="20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0"/>
        <v>198</v>
      </c>
      <c r="K1199" s="4">
        <f t="shared" si="20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0"/>
        <v>142</v>
      </c>
      <c r="K1200" s="4">
        <f t="shared" si="20"/>
        <v>180</v>
      </c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0"/>
        <v>290</v>
      </c>
      <c r="K1201" s="4">
        <f t="shared" si="20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0"/>
        <v>263</v>
      </c>
      <c r="K1202" s="4">
        <f t="shared" si="20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0"/>
        <v>307</v>
      </c>
      <c r="K1203" s="4">
        <f t="shared" si="20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0"/>
        <v>303</v>
      </c>
      <c r="K1204" s="4">
        <f t="shared" si="20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0"/>
        <v>376</v>
      </c>
      <c r="K1205" s="4">
        <f t="shared" si="20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0"/>
        <v>215</v>
      </c>
      <c r="K1206" s="4">
        <f t="shared" si="20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0"/>
        <v>337</v>
      </c>
      <c r="K1207" s="4">
        <f t="shared" si="20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0"/>
        <v>217</v>
      </c>
      <c r="K1208" s="4">
        <f t="shared" si="20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0"/>
        <v>274</v>
      </c>
      <c r="K1209" s="4">
        <f t="shared" si="20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0"/>
        <v>332</v>
      </c>
      <c r="K1210" s="4">
        <f t="shared" si="20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0"/>
        <v>290</v>
      </c>
      <c r="K1211" s="4">
        <f t="shared" si="20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0"/>
        <v>269</v>
      </c>
      <c r="K1212" s="4">
        <f t="shared" si="20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0"/>
        <v>113</v>
      </c>
      <c r="K1213" s="4">
        <f t="shared" si="20"/>
        <v>157</v>
      </c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0"/>
        <v>288</v>
      </c>
      <c r="K1214" s="4">
        <f t="shared" si="20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0"/>
        <v>224</v>
      </c>
      <c r="K1215" s="4">
        <f t="shared" si="20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0"/>
        <v>236</v>
      </c>
      <c r="K1216" s="4">
        <f t="shared" si="20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0"/>
        <v>230</v>
      </c>
      <c r="K1217" s="4">
        <f t="shared" si="20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1">SUM(B1218,D1218,F1218,H1218)</f>
        <v>99</v>
      </c>
      <c r="K1218" s="4">
        <f t="shared" si="21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1"/>
        <v>405</v>
      </c>
      <c r="K1219" s="4">
        <f t="shared" si="21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1"/>
        <v>91</v>
      </c>
      <c r="K1220" s="4">
        <f t="shared" si="21"/>
        <v>120</v>
      </c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1"/>
        <v>279</v>
      </c>
      <c r="K1221" s="4">
        <f t="shared" si="21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1"/>
        <v>238</v>
      </c>
      <c r="K1222" s="4">
        <f t="shared" si="21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1"/>
        <v>228</v>
      </c>
      <c r="K1223" s="4">
        <f t="shared" si="21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1"/>
        <v>200</v>
      </c>
      <c r="K1224" s="4">
        <f t="shared" si="21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1"/>
        <v>245</v>
      </c>
      <c r="K1225" s="4">
        <f t="shared" si="21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1"/>
        <v>277</v>
      </c>
      <c r="K1226" s="4">
        <f t="shared" si="21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1"/>
        <v>86</v>
      </c>
      <c r="K1227" s="4">
        <f t="shared" si="21"/>
        <v>100</v>
      </c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1"/>
        <v>339</v>
      </c>
      <c r="K1228" s="4">
        <f t="shared" si="21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1"/>
        <v>317</v>
      </c>
      <c r="K1229" s="4">
        <f t="shared" si="21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1"/>
        <v>348</v>
      </c>
      <c r="K1230" s="4">
        <f t="shared" si="21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1"/>
        <v>357</v>
      </c>
      <c r="K1231" s="4">
        <f t="shared" si="21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1"/>
        <v>363</v>
      </c>
      <c r="K1232" s="4">
        <f t="shared" si="21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1"/>
        <v>387</v>
      </c>
      <c r="K1233" s="4">
        <f t="shared" si="21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1"/>
        <v>243</v>
      </c>
      <c r="K1234" s="4">
        <f t="shared" si="21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1"/>
        <v>269</v>
      </c>
      <c r="K1235" s="4">
        <f t="shared" si="21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1"/>
        <v>246</v>
      </c>
      <c r="K1236" s="4">
        <f t="shared" si="21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1"/>
        <v>248</v>
      </c>
      <c r="K1237" s="4">
        <f t="shared" si="21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1"/>
        <v>303</v>
      </c>
      <c r="K1238" s="4">
        <f t="shared" si="21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1"/>
        <v>279</v>
      </c>
      <c r="K1239" s="4">
        <f t="shared" si="21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1"/>
        <v>328</v>
      </c>
      <c r="K1240" s="4">
        <f t="shared" si="21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1"/>
        <v>143</v>
      </c>
      <c r="K1241" s="4">
        <f t="shared" si="21"/>
        <v>176</v>
      </c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1"/>
        <v>292</v>
      </c>
      <c r="K1242" s="4">
        <f t="shared" si="21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1"/>
        <v>247</v>
      </c>
      <c r="K1243" s="4">
        <f t="shared" si="21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1"/>
        <v>277</v>
      </c>
      <c r="K1244" s="4">
        <f t="shared" si="21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1"/>
        <v>254</v>
      </c>
      <c r="K1245" s="4">
        <f t="shared" si="21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1"/>
        <v>231</v>
      </c>
      <c r="K1246" s="4">
        <f t="shared" si="21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1"/>
        <v>281</v>
      </c>
      <c r="K1247" s="4">
        <f t="shared" si="21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1"/>
        <v>75</v>
      </c>
      <c r="K1248" s="4">
        <f t="shared" si="21"/>
        <v>92</v>
      </c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1"/>
        <v>314</v>
      </c>
      <c r="K1249" s="4">
        <f t="shared" si="21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55" si="22">SUM(B1250,D1250,F1250,H1250)</f>
        <v>270</v>
      </c>
      <c r="K1250" s="4">
        <f t="shared" si="22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2"/>
        <v>309</v>
      </c>
      <c r="K1251" s="4">
        <f t="shared" si="22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2"/>
        <v>235</v>
      </c>
      <c r="K1252" s="4">
        <f t="shared" si="22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2"/>
        <v>268</v>
      </c>
      <c r="K1253" s="4">
        <f t="shared" si="22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2"/>
        <v>229</v>
      </c>
      <c r="K1254" s="4">
        <f t="shared" si="22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2"/>
        <v>80</v>
      </c>
      <c r="K1255" s="4">
        <f t="shared" si="22"/>
        <v>110</v>
      </c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ref="J1250:K1261" si="23">SUM(B1256,D1256,F1256,H1256)</f>
        <v>238</v>
      </c>
      <c r="K1256" s="4">
        <f t="shared" si="23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3"/>
        <v>245</v>
      </c>
      <c r="K1257" s="4">
        <f t="shared" si="23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3"/>
        <v>196</v>
      </c>
      <c r="K1258" s="4">
        <f t="shared" si="23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3"/>
        <v>312</v>
      </c>
      <c r="K1259" s="4">
        <f t="shared" si="23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3"/>
        <v>121</v>
      </c>
      <c r="K1260" s="4">
        <f t="shared" si="23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3"/>
        <v>68</v>
      </c>
      <c r="K1261" s="4">
        <f t="shared" si="23"/>
        <v>418</v>
      </c>
    </row>
    <row r="1262" spans="1:11">
      <c r="A1262" s="1">
        <v>46187</v>
      </c>
      <c r="B1262" s="4">
        <v>47</v>
      </c>
      <c r="C1262" s="4">
        <v>101</v>
      </c>
      <c r="D1262" s="4">
        <v>1</v>
      </c>
      <c r="E1262" s="4">
        <v>2</v>
      </c>
      <c r="F1262" s="4">
        <v>451</v>
      </c>
      <c r="G1262" s="4">
        <v>675</v>
      </c>
      <c r="H1262" s="4">
        <v>103</v>
      </c>
      <c r="I1262" s="4">
        <v>157</v>
      </c>
      <c r="J1262" s="4">
        <v>602</v>
      </c>
      <c r="K1262" s="4">
        <v>935</v>
      </c>
    </row>
    <row r="1263" spans="1:11">
      <c r="A1263" s="1">
        <v>46188</v>
      </c>
      <c r="B1263" s="4">
        <v>84</v>
      </c>
      <c r="C1263" s="4">
        <v>215</v>
      </c>
      <c r="D1263" s="4">
        <v>20</v>
      </c>
      <c r="E1263" s="4">
        <v>324</v>
      </c>
      <c r="F1263" s="4">
        <v>1005</v>
      </c>
      <c r="G1263" s="4">
        <v>1424</v>
      </c>
      <c r="H1263" s="4">
        <v>259</v>
      </c>
      <c r="I1263" s="4">
        <v>388</v>
      </c>
      <c r="J1263" s="4">
        <v>1368</v>
      </c>
      <c r="K1263" s="4">
        <v>2351</v>
      </c>
    </row>
    <row r="1264" spans="1:11">
      <c r="A1264" s="1">
        <v>46189</v>
      </c>
      <c r="B1264" s="4">
        <v>40</v>
      </c>
      <c r="C1264" s="4">
        <v>91</v>
      </c>
      <c r="D1264" s="4">
        <v>15</v>
      </c>
      <c r="E1264" s="4">
        <v>188</v>
      </c>
      <c r="F1264" s="4">
        <v>413</v>
      </c>
      <c r="G1264" s="4">
        <v>539</v>
      </c>
      <c r="H1264" s="4">
        <v>124</v>
      </c>
      <c r="I1264" s="4">
        <v>180</v>
      </c>
      <c r="J1264" s="4">
        <v>592</v>
      </c>
      <c r="K1264" s="4">
        <v>998</v>
      </c>
    </row>
    <row r="1265" spans="1:14">
      <c r="A1265" s="1">
        <v>46190</v>
      </c>
      <c r="B1265" s="4">
        <v>43</v>
      </c>
      <c r="C1265" s="4">
        <v>129</v>
      </c>
      <c r="D1265" s="4">
        <v>13</v>
      </c>
      <c r="E1265" s="4">
        <v>190</v>
      </c>
      <c r="F1265" s="4">
        <v>524</v>
      </c>
      <c r="G1265" s="4">
        <v>691</v>
      </c>
      <c r="H1265" s="4">
        <v>90</v>
      </c>
      <c r="I1265" s="4">
        <v>137</v>
      </c>
      <c r="J1265" s="4">
        <v>670</v>
      </c>
      <c r="K1265" s="4">
        <v>1147</v>
      </c>
      <c r="N1265" s="34"/>
    </row>
    <row r="1266" spans="1:14">
      <c r="A1266" s="1">
        <v>46191</v>
      </c>
      <c r="B1266" s="4">
        <v>60</v>
      </c>
      <c r="C1266" s="4">
        <v>133</v>
      </c>
      <c r="D1266" s="4">
        <v>9</v>
      </c>
      <c r="E1266" s="4">
        <v>79</v>
      </c>
      <c r="F1266" s="4">
        <v>423</v>
      </c>
      <c r="G1266" s="4">
        <v>656</v>
      </c>
      <c r="H1266" s="4">
        <v>57</v>
      </c>
      <c r="I1266" s="4">
        <v>81</v>
      </c>
      <c r="J1266" s="4">
        <v>549</v>
      </c>
      <c r="K1266" s="4">
        <v>949</v>
      </c>
    </row>
    <row r="1267" spans="1:14">
      <c r="A1267" s="1">
        <v>46192</v>
      </c>
      <c r="B1267" s="4">
        <v>49</v>
      </c>
      <c r="C1267" s="4">
        <v>163</v>
      </c>
      <c r="D1267" s="4">
        <v>16</v>
      </c>
      <c r="E1267" s="4">
        <v>214</v>
      </c>
      <c r="F1267" s="4">
        <v>485</v>
      </c>
      <c r="G1267" s="4">
        <v>661</v>
      </c>
      <c r="H1267" s="4">
        <v>74</v>
      </c>
      <c r="I1267" s="4">
        <v>107</v>
      </c>
      <c r="J1267" s="4">
        <v>624</v>
      </c>
      <c r="K1267" s="4">
        <v>1145</v>
      </c>
    </row>
    <row r="1268" spans="1:14">
      <c r="A1268" s="1">
        <v>46193</v>
      </c>
      <c r="B1268" s="4">
        <v>44</v>
      </c>
      <c r="C1268" s="4">
        <v>111</v>
      </c>
      <c r="D1268" s="4">
        <v>24</v>
      </c>
      <c r="E1268" s="4">
        <v>383</v>
      </c>
      <c r="F1268" s="4">
        <v>509</v>
      </c>
      <c r="G1268" s="4">
        <v>709</v>
      </c>
      <c r="H1268" s="4">
        <v>81</v>
      </c>
      <c r="I1268" s="4">
        <v>120</v>
      </c>
      <c r="J1268" s="4">
        <v>658</v>
      </c>
      <c r="K1268" s="4">
        <v>1323</v>
      </c>
    </row>
    <row r="1269" spans="1:14">
      <c r="A1269" s="1">
        <v>46194</v>
      </c>
      <c r="B1269" s="4">
        <v>46</v>
      </c>
      <c r="C1269" s="4">
        <v>142</v>
      </c>
      <c r="D1269" s="4">
        <v>8</v>
      </c>
      <c r="E1269" s="4">
        <v>99</v>
      </c>
      <c r="F1269" s="4">
        <v>334</v>
      </c>
      <c r="G1269" s="4">
        <v>481</v>
      </c>
      <c r="H1269" s="4">
        <v>81</v>
      </c>
      <c r="I1269" s="4">
        <v>124</v>
      </c>
      <c r="J1269" s="4">
        <v>469</v>
      </c>
      <c r="K1269" s="4">
        <v>846</v>
      </c>
    </row>
    <row r="1270" spans="1:14">
      <c r="A1270" s="1">
        <v>46195</v>
      </c>
      <c r="B1270" s="4">
        <v>26</v>
      </c>
      <c r="C1270" s="4">
        <v>53</v>
      </c>
      <c r="D1270" s="4">
        <v>13</v>
      </c>
      <c r="E1270" s="4">
        <v>156</v>
      </c>
      <c r="F1270" s="4">
        <v>437</v>
      </c>
      <c r="G1270" s="4">
        <v>617</v>
      </c>
      <c r="H1270" s="4">
        <v>90</v>
      </c>
      <c r="I1270" s="4">
        <v>137</v>
      </c>
      <c r="J1270" s="4">
        <v>566</v>
      </c>
      <c r="K1270" s="4">
        <v>963</v>
      </c>
    </row>
    <row r="1271" spans="1:14">
      <c r="A1271" s="1">
        <v>46196</v>
      </c>
      <c r="B1271" s="4">
        <v>49</v>
      </c>
      <c r="C1271" s="4">
        <v>134</v>
      </c>
      <c r="D1271" s="4">
        <v>16</v>
      </c>
      <c r="E1271" s="4">
        <v>282</v>
      </c>
      <c r="F1271" s="4">
        <v>389</v>
      </c>
      <c r="G1271" s="4">
        <v>524</v>
      </c>
      <c r="H1271" s="4">
        <v>65</v>
      </c>
      <c r="I1271" s="4">
        <v>90</v>
      </c>
      <c r="J1271" s="4">
        <v>519</v>
      </c>
      <c r="K1271" s="4">
        <v>1030</v>
      </c>
    </row>
    <row r="1272" spans="1:14">
      <c r="A1272" s="1">
        <v>46197</v>
      </c>
      <c r="B1272" s="4">
        <v>36</v>
      </c>
      <c r="C1272" s="4">
        <v>66</v>
      </c>
      <c r="D1272" s="4">
        <v>15</v>
      </c>
      <c r="E1272" s="4">
        <v>142</v>
      </c>
      <c r="F1272" s="4">
        <v>385</v>
      </c>
      <c r="G1272" s="4">
        <v>637</v>
      </c>
      <c r="H1272" s="4">
        <v>119</v>
      </c>
      <c r="I1272" s="4">
        <v>169</v>
      </c>
      <c r="J1272" s="4">
        <v>555</v>
      </c>
      <c r="K1272" s="4">
        <v>1014</v>
      </c>
    </row>
    <row r="1273" spans="1:14">
      <c r="A1273" s="1">
        <v>46198</v>
      </c>
      <c r="B1273" s="4">
        <v>52</v>
      </c>
      <c r="C1273" s="4">
        <v>133</v>
      </c>
      <c r="D1273" s="4">
        <v>20</v>
      </c>
      <c r="E1273" s="4">
        <v>296</v>
      </c>
      <c r="F1273" s="4">
        <v>963</v>
      </c>
      <c r="G1273" s="4">
        <v>1613</v>
      </c>
      <c r="H1273" s="4">
        <v>250</v>
      </c>
      <c r="I1273" s="4">
        <v>392</v>
      </c>
      <c r="J1273" s="4">
        <v>1285</v>
      </c>
      <c r="K1273" s="4">
        <v>2434</v>
      </c>
    </row>
    <row r="1274" spans="1:14">
      <c r="A1274" s="1">
        <v>46199</v>
      </c>
      <c r="B1274" s="4">
        <v>62</v>
      </c>
      <c r="C1274" s="4">
        <v>139</v>
      </c>
      <c r="D1274" s="4">
        <v>17</v>
      </c>
      <c r="E1274" s="4">
        <v>295</v>
      </c>
      <c r="F1274" s="4">
        <v>902</v>
      </c>
      <c r="G1274" s="4">
        <v>1196</v>
      </c>
      <c r="H1274" s="4">
        <v>188</v>
      </c>
      <c r="I1274" s="4">
        <v>304</v>
      </c>
      <c r="J1274" s="4">
        <v>1169</v>
      </c>
      <c r="K1274" s="4">
        <v>1934</v>
      </c>
    </row>
    <row r="1275" spans="1:14">
      <c r="A1275" s="1">
        <v>46200</v>
      </c>
      <c r="B1275" s="4">
        <v>47</v>
      </c>
      <c r="C1275" s="4">
        <v>104</v>
      </c>
      <c r="D1275" s="4">
        <v>22</v>
      </c>
      <c r="E1275" s="4">
        <v>266</v>
      </c>
      <c r="F1275" s="4">
        <v>997</v>
      </c>
      <c r="G1275" s="4">
        <v>1371</v>
      </c>
      <c r="H1275" s="4">
        <v>185</v>
      </c>
      <c r="I1275" s="4">
        <v>316</v>
      </c>
      <c r="J1275" s="4">
        <v>1251</v>
      </c>
      <c r="K1275" s="4">
        <v>2057</v>
      </c>
    </row>
    <row r="1276" spans="1:14">
      <c r="A1276" s="1">
        <v>46201</v>
      </c>
      <c r="B1276" s="4">
        <v>46</v>
      </c>
      <c r="C1276" s="4">
        <v>122</v>
      </c>
      <c r="D1276" s="4">
        <v>12</v>
      </c>
      <c r="E1276" s="4">
        <v>188</v>
      </c>
      <c r="F1276" s="4">
        <v>692</v>
      </c>
      <c r="G1276" s="4">
        <v>1026</v>
      </c>
      <c r="H1276" s="4">
        <v>167</v>
      </c>
      <c r="I1276" s="4">
        <v>250</v>
      </c>
      <c r="J1276" s="4">
        <v>917</v>
      </c>
      <c r="K1276" s="4">
        <v>1586</v>
      </c>
    </row>
    <row r="1277" spans="1:14">
      <c r="A1277" s="1">
        <v>46202</v>
      </c>
      <c r="B1277" s="4">
        <v>49</v>
      </c>
      <c r="C1277" s="4">
        <v>118</v>
      </c>
      <c r="D1277" s="4">
        <v>8</v>
      </c>
      <c r="E1277" s="4">
        <v>16</v>
      </c>
      <c r="F1277" s="4">
        <v>919</v>
      </c>
      <c r="G1277" s="4">
        <v>1333</v>
      </c>
      <c r="H1277" s="4">
        <v>198</v>
      </c>
      <c r="I1277" s="4">
        <v>331</v>
      </c>
      <c r="J1277" s="4">
        <v>1174</v>
      </c>
      <c r="K1277" s="4">
        <v>1798</v>
      </c>
    </row>
    <row r="1278" spans="1:14">
      <c r="A1278" s="1">
        <v>46203</v>
      </c>
      <c r="B1278" s="4">
        <v>38</v>
      </c>
      <c r="C1278" s="4">
        <v>90</v>
      </c>
      <c r="D1278" s="4">
        <v>12</v>
      </c>
      <c r="E1278" s="4"/>
      <c r="F1278" s="4">
        <v>850</v>
      </c>
      <c r="G1278" s="4">
        <v>1198</v>
      </c>
      <c r="H1278" s="4">
        <v>175</v>
      </c>
      <c r="I1278" s="4">
        <v>263</v>
      </c>
      <c r="J1278" s="4">
        <v>1075</v>
      </c>
      <c r="K1278" s="4">
        <v>1551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7A84-2F74-2344-9132-7E4A70065A9B}">
  <dimension ref="A1:I136"/>
  <sheetViews>
    <sheetView zoomScale="68" zoomScaleNormal="93" workbookViewId="0">
      <selection activeCell="I16" sqref="I16"/>
    </sheetView>
  </sheetViews>
  <sheetFormatPr baseColWidth="10" defaultColWidth="11" defaultRowHeight="15.6"/>
  <cols>
    <col min="1" max="1" width="20.09765625" customWidth="1"/>
    <col min="2" max="2" width="49.59765625" bestFit="1" customWidth="1"/>
    <col min="3" max="3" width="24.8984375" style="2" customWidth="1"/>
    <col min="4" max="4" width="20" style="2" customWidth="1"/>
    <col min="5" max="5" width="20" customWidth="1"/>
    <col min="6" max="6" width="13.8984375" bestFit="1" customWidth="1"/>
    <col min="7" max="7" width="21" customWidth="1"/>
    <col min="9" max="9" width="50" bestFit="1" customWidth="1"/>
  </cols>
  <sheetData>
    <row r="1" spans="1:9">
      <c r="A1" s="15" t="s">
        <v>202</v>
      </c>
      <c r="B1" s="16" t="s">
        <v>1</v>
      </c>
      <c r="C1" s="17" t="s">
        <v>170</v>
      </c>
      <c r="D1" s="17" t="s">
        <v>171</v>
      </c>
      <c r="E1" s="18" t="s">
        <v>185</v>
      </c>
      <c r="F1" s="18" t="s">
        <v>203</v>
      </c>
      <c r="G1" s="18" t="s">
        <v>0</v>
      </c>
    </row>
    <row r="2" spans="1:9">
      <c r="A2" s="23"/>
      <c r="B2" s="23"/>
      <c r="C2" s="24"/>
      <c r="D2" s="24"/>
      <c r="E2" s="23"/>
      <c r="F2" s="23"/>
      <c r="G2" s="23">
        <v>1</v>
      </c>
      <c r="I2" s="26" t="s">
        <v>204</v>
      </c>
    </row>
    <row r="3" spans="1:9">
      <c r="A3" s="23"/>
      <c r="B3" s="23"/>
      <c r="C3" s="24"/>
      <c r="D3" s="24"/>
      <c r="E3" s="23"/>
      <c r="F3" s="23"/>
      <c r="G3" s="23">
        <v>1</v>
      </c>
      <c r="I3" t="s">
        <v>205</v>
      </c>
    </row>
    <row r="4" spans="1:9">
      <c r="A4" s="23"/>
      <c r="B4" s="23"/>
      <c r="C4" s="24"/>
      <c r="D4" s="24"/>
      <c r="E4" s="23"/>
      <c r="F4" s="23"/>
      <c r="G4" s="23">
        <v>1</v>
      </c>
    </row>
    <row r="5" spans="1:9">
      <c r="A5" s="23"/>
      <c r="B5" s="23"/>
      <c r="C5" s="24"/>
      <c r="D5" s="24"/>
      <c r="E5" s="23"/>
      <c r="F5" s="23"/>
      <c r="G5" s="23">
        <v>1</v>
      </c>
    </row>
    <row r="6" spans="1:9">
      <c r="A6" s="23"/>
      <c r="B6" s="23"/>
      <c r="C6" s="24"/>
      <c r="D6" s="25"/>
      <c r="E6" s="23"/>
      <c r="F6" s="23"/>
      <c r="G6" s="23">
        <v>1</v>
      </c>
    </row>
    <row r="7" spans="1:9">
      <c r="A7" s="23"/>
      <c r="B7" s="23"/>
      <c r="C7" s="24"/>
      <c r="D7" s="24"/>
      <c r="E7" s="23"/>
      <c r="F7" s="23"/>
      <c r="G7" s="23">
        <v>1</v>
      </c>
    </row>
    <row r="8" spans="1:9">
      <c r="A8" s="23"/>
      <c r="B8" s="23"/>
      <c r="C8" s="24"/>
      <c r="D8" s="24"/>
      <c r="E8" s="23"/>
      <c r="F8" s="23"/>
      <c r="G8" s="23">
        <v>1</v>
      </c>
    </row>
    <row r="9" spans="1:9">
      <c r="A9" s="23"/>
      <c r="B9" s="23"/>
      <c r="C9" s="24"/>
      <c r="D9" s="24"/>
      <c r="E9" s="23"/>
      <c r="F9" s="23"/>
      <c r="G9" s="23">
        <v>1</v>
      </c>
    </row>
    <row r="10" spans="1:9">
      <c r="A10" s="23"/>
      <c r="B10" s="23"/>
      <c r="C10" s="24"/>
      <c r="D10" s="24"/>
      <c r="E10" s="23"/>
      <c r="F10" s="23"/>
      <c r="G10" s="23">
        <v>1</v>
      </c>
    </row>
    <row r="11" spans="1:9">
      <c r="A11" s="23"/>
      <c r="B11" s="23"/>
      <c r="C11" s="24"/>
      <c r="D11" s="24"/>
      <c r="E11" s="23"/>
      <c r="F11" s="23"/>
      <c r="G11" s="23">
        <v>1</v>
      </c>
    </row>
    <row r="12" spans="1:9">
      <c r="A12" s="23"/>
      <c r="B12" s="23"/>
      <c r="C12" s="24"/>
      <c r="D12" s="24"/>
      <c r="E12" s="23"/>
      <c r="F12" s="23"/>
      <c r="G12" s="23">
        <v>1</v>
      </c>
    </row>
    <row r="13" spans="1:9">
      <c r="A13" s="23"/>
      <c r="B13" s="23"/>
      <c r="C13" s="24"/>
      <c r="D13" s="24"/>
      <c r="E13" s="23"/>
      <c r="F13" s="23"/>
      <c r="G13" s="23">
        <v>1</v>
      </c>
    </row>
    <row r="14" spans="1:9">
      <c r="A14" s="23"/>
      <c r="B14" s="23"/>
      <c r="C14" s="24"/>
      <c r="D14" s="24"/>
      <c r="E14" s="23"/>
      <c r="F14" s="23"/>
      <c r="G14" s="23">
        <v>1</v>
      </c>
    </row>
    <row r="15" spans="1:9">
      <c r="A15" s="23"/>
      <c r="B15" s="23"/>
      <c r="C15" s="24"/>
      <c r="D15" s="24"/>
      <c r="E15" s="23"/>
      <c r="F15" s="23"/>
      <c r="G15" s="23">
        <v>1</v>
      </c>
    </row>
    <row r="16" spans="1:9">
      <c r="A16" s="23"/>
      <c r="B16" s="23"/>
      <c r="C16" s="24"/>
      <c r="D16" s="24"/>
      <c r="E16" s="23"/>
      <c r="F16" s="23"/>
      <c r="G16" s="23">
        <v>1</v>
      </c>
      <c r="I16" s="34"/>
    </row>
    <row r="17" spans="1:7">
      <c r="A17" s="23"/>
      <c r="B17" s="23"/>
      <c r="C17" s="24"/>
      <c r="D17" s="24"/>
      <c r="E17" s="23"/>
      <c r="F17" s="23"/>
      <c r="G17" s="23">
        <v>1</v>
      </c>
    </row>
    <row r="18" spans="1:7">
      <c r="A18" s="23"/>
      <c r="B18" s="23"/>
      <c r="C18" s="24"/>
      <c r="D18" s="24"/>
      <c r="E18" s="23"/>
      <c r="F18" s="23"/>
      <c r="G18" s="23">
        <v>1</v>
      </c>
    </row>
    <row r="19" spans="1:7">
      <c r="A19" s="23"/>
      <c r="B19" s="23"/>
      <c r="C19" s="24"/>
      <c r="D19" s="24"/>
      <c r="E19" s="23"/>
      <c r="F19" s="23"/>
      <c r="G19" s="23">
        <v>1</v>
      </c>
    </row>
    <row r="20" spans="1:7">
      <c r="A20" s="23"/>
      <c r="B20" s="23"/>
      <c r="C20" s="24"/>
      <c r="D20" s="24"/>
      <c r="E20" s="23"/>
      <c r="F20" s="23"/>
      <c r="G20" s="23">
        <v>1</v>
      </c>
    </row>
    <row r="21" spans="1:7">
      <c r="A21" s="23"/>
      <c r="B21" s="23"/>
      <c r="C21" s="25"/>
      <c r="D21" s="24"/>
      <c r="E21" s="23"/>
      <c r="F21" s="23"/>
      <c r="G21" s="23">
        <v>1</v>
      </c>
    </row>
    <row r="22" spans="1:7">
      <c r="A22" s="23"/>
      <c r="B22" s="23"/>
      <c r="C22" s="24"/>
      <c r="D22" s="24"/>
      <c r="E22" s="23"/>
      <c r="F22" s="23"/>
      <c r="G22" s="23">
        <v>1</v>
      </c>
    </row>
    <row r="23" spans="1:7">
      <c r="A23" s="23"/>
      <c r="B23" s="23"/>
      <c r="C23" s="24"/>
      <c r="D23" s="24"/>
      <c r="E23" s="23"/>
      <c r="F23" s="23"/>
      <c r="G23" s="23">
        <v>1</v>
      </c>
    </row>
    <row r="24" spans="1:7">
      <c r="A24" s="23"/>
      <c r="B24" s="23"/>
      <c r="C24" s="24"/>
      <c r="D24" s="24"/>
      <c r="E24" s="23"/>
      <c r="F24" s="23"/>
      <c r="G24" s="23">
        <v>1</v>
      </c>
    </row>
    <row r="25" spans="1:7">
      <c r="A25" s="14"/>
      <c r="B25" s="20"/>
      <c r="C25" s="19"/>
      <c r="D25" s="19"/>
      <c r="E25" s="14"/>
      <c r="F25" s="14"/>
      <c r="G25" s="23">
        <v>1</v>
      </c>
    </row>
    <row r="26" spans="1:7">
      <c r="B26" s="21"/>
      <c r="C26" s="19"/>
      <c r="D26" s="19"/>
      <c r="G26" s="23">
        <v>1</v>
      </c>
    </row>
    <row r="27" spans="1:7">
      <c r="A27" s="14"/>
      <c r="B27" s="20"/>
      <c r="C27" s="19"/>
      <c r="D27" s="19"/>
      <c r="E27" s="14"/>
      <c r="F27" s="14"/>
      <c r="G27" s="23">
        <v>1</v>
      </c>
    </row>
    <row r="28" spans="1:7">
      <c r="B28" s="21"/>
      <c r="C28" s="19"/>
      <c r="D28" s="19"/>
      <c r="G28" s="23">
        <v>1</v>
      </c>
    </row>
    <row r="29" spans="1:7">
      <c r="A29" s="14"/>
      <c r="B29" s="20"/>
      <c r="C29" s="19"/>
      <c r="D29" s="19"/>
      <c r="E29" s="14"/>
      <c r="F29" s="14"/>
      <c r="G29" s="23">
        <v>1</v>
      </c>
    </row>
    <row r="30" spans="1:7">
      <c r="B30" s="21"/>
      <c r="C30" s="19"/>
      <c r="D30" s="19"/>
      <c r="G30" s="23">
        <v>1</v>
      </c>
    </row>
    <row r="31" spans="1:7">
      <c r="A31" s="14"/>
      <c r="B31" s="20"/>
      <c r="C31" s="19"/>
      <c r="D31" s="19"/>
      <c r="E31" s="14"/>
      <c r="F31" s="14"/>
      <c r="G31" s="23">
        <v>1</v>
      </c>
    </row>
    <row r="32" spans="1:7">
      <c r="B32" s="21"/>
      <c r="C32" s="19"/>
      <c r="D32" s="19"/>
      <c r="G32" s="23">
        <v>1</v>
      </c>
    </row>
    <row r="33" spans="1:7">
      <c r="A33" s="14"/>
      <c r="B33" s="20"/>
      <c r="C33" s="19"/>
      <c r="D33" s="19"/>
      <c r="E33" s="14"/>
      <c r="F33" s="14"/>
      <c r="G33" s="23">
        <v>1</v>
      </c>
    </row>
    <row r="34" spans="1:7">
      <c r="B34" s="21"/>
      <c r="C34" s="19"/>
      <c r="D34" s="19"/>
      <c r="G34" s="23">
        <v>1</v>
      </c>
    </row>
    <row r="35" spans="1:7">
      <c r="A35" s="14"/>
      <c r="B35" s="20"/>
      <c r="C35" s="19"/>
      <c r="D35" s="19"/>
      <c r="E35" s="14"/>
      <c r="F35" s="14"/>
      <c r="G35" s="23">
        <v>1</v>
      </c>
    </row>
    <row r="36" spans="1:7">
      <c r="B36" s="21"/>
      <c r="C36" s="19"/>
      <c r="D36" s="19"/>
      <c r="G36" s="23">
        <v>1</v>
      </c>
    </row>
    <row r="37" spans="1:7">
      <c r="A37" s="14"/>
      <c r="B37" s="20"/>
      <c r="C37" s="19"/>
      <c r="D37" s="19"/>
      <c r="E37" s="14"/>
      <c r="F37" s="14"/>
      <c r="G37" s="23">
        <v>1</v>
      </c>
    </row>
    <row r="38" spans="1:7">
      <c r="B38" s="21"/>
      <c r="C38" s="19"/>
      <c r="D38" s="19"/>
      <c r="G38" s="23">
        <v>1</v>
      </c>
    </row>
    <row r="39" spans="1:7">
      <c r="B39" s="21"/>
      <c r="C39" s="19"/>
      <c r="D39" s="19"/>
      <c r="G39" s="23">
        <v>1</v>
      </c>
    </row>
    <row r="40" spans="1:7">
      <c r="B40" s="21"/>
      <c r="C40" s="19"/>
      <c r="D40" s="19"/>
      <c r="G40" s="23">
        <v>1</v>
      </c>
    </row>
    <row r="41" spans="1:7">
      <c r="B41" s="21"/>
      <c r="C41" s="19"/>
      <c r="D41" s="19"/>
      <c r="G41" s="23">
        <v>1</v>
      </c>
    </row>
    <row r="42" spans="1:7">
      <c r="B42" s="21"/>
      <c r="C42" s="19"/>
      <c r="D42" s="19"/>
      <c r="G42" s="23">
        <v>1</v>
      </c>
    </row>
    <row r="43" spans="1:7">
      <c r="B43" s="21"/>
      <c r="C43" s="19"/>
      <c r="D43" s="19"/>
      <c r="G43" s="23">
        <v>1</v>
      </c>
    </row>
    <row r="44" spans="1:7">
      <c r="B44" s="21"/>
      <c r="C44" s="19"/>
      <c r="D44" s="19"/>
      <c r="G44" s="23">
        <v>1</v>
      </c>
    </row>
    <row r="45" spans="1:7">
      <c r="B45" s="21"/>
      <c r="C45" s="19"/>
      <c r="D45" s="19"/>
      <c r="G45" s="23">
        <v>1</v>
      </c>
    </row>
    <row r="46" spans="1:7">
      <c r="B46" s="21"/>
      <c r="C46" s="19"/>
      <c r="D46" s="19"/>
      <c r="G46" s="23">
        <v>1</v>
      </c>
    </row>
    <row r="47" spans="1:7">
      <c r="B47" s="21"/>
      <c r="C47" s="19"/>
      <c r="D47" s="19"/>
      <c r="G47" s="23">
        <v>1</v>
      </c>
    </row>
    <row r="48" spans="1:7">
      <c r="B48" s="21"/>
      <c r="C48" s="19"/>
      <c r="D48" s="19"/>
      <c r="G48" s="23">
        <v>1</v>
      </c>
    </row>
    <row r="49" spans="2:7">
      <c r="B49" s="21"/>
      <c r="C49" s="19"/>
      <c r="D49" s="19"/>
      <c r="G49" s="23">
        <v>1</v>
      </c>
    </row>
    <row r="50" spans="2:7">
      <c r="B50" s="21"/>
      <c r="C50" s="19"/>
      <c r="D50" s="19"/>
      <c r="G50" s="23">
        <v>1</v>
      </c>
    </row>
    <row r="51" spans="2:7">
      <c r="B51" s="21"/>
      <c r="C51" s="19"/>
      <c r="D51" s="19"/>
      <c r="G51" s="23">
        <v>1</v>
      </c>
    </row>
    <row r="52" spans="2:7">
      <c r="B52" s="21"/>
      <c r="C52" s="19"/>
      <c r="D52" s="19"/>
      <c r="G52" s="23">
        <v>1</v>
      </c>
    </row>
    <row r="53" spans="2:7">
      <c r="B53" s="21"/>
      <c r="C53" s="19"/>
      <c r="D53" s="19"/>
      <c r="G53" s="23">
        <v>1</v>
      </c>
    </row>
    <row r="54" spans="2:7">
      <c r="B54" s="21"/>
      <c r="C54" s="19"/>
      <c r="D54" s="19"/>
      <c r="G54" s="23">
        <v>1</v>
      </c>
    </row>
    <row r="55" spans="2:7">
      <c r="B55" s="21"/>
      <c r="C55" s="19"/>
      <c r="D55" s="19"/>
      <c r="G55" s="23">
        <v>1</v>
      </c>
    </row>
    <row r="56" spans="2:7">
      <c r="B56" s="21"/>
      <c r="C56" s="22"/>
      <c r="D56" s="22"/>
      <c r="G56" s="23">
        <v>1</v>
      </c>
    </row>
    <row r="57" spans="2:7">
      <c r="B57" s="21"/>
      <c r="C57" s="22"/>
      <c r="D57" s="22"/>
      <c r="G57" s="23">
        <v>1</v>
      </c>
    </row>
    <row r="58" spans="2:7">
      <c r="B58" s="21"/>
      <c r="C58" s="22"/>
      <c r="D58" s="22"/>
      <c r="G58" s="23">
        <v>1</v>
      </c>
    </row>
    <row r="59" spans="2:7">
      <c r="B59" s="21"/>
      <c r="C59" s="22"/>
      <c r="D59" s="22"/>
      <c r="G59" s="23">
        <v>1</v>
      </c>
    </row>
    <row r="60" spans="2:7">
      <c r="B60" s="21"/>
      <c r="C60" s="22"/>
      <c r="D60" s="22"/>
      <c r="G60" s="23">
        <v>1</v>
      </c>
    </row>
    <row r="61" spans="2:7">
      <c r="B61" s="21"/>
      <c r="C61" s="22"/>
      <c r="D61" s="22"/>
      <c r="G61" s="23">
        <v>1</v>
      </c>
    </row>
    <row r="62" spans="2:7">
      <c r="B62" s="21"/>
      <c r="C62" s="22"/>
      <c r="D62" s="22"/>
      <c r="G62" s="23">
        <v>1</v>
      </c>
    </row>
    <row r="63" spans="2:7">
      <c r="B63" s="21"/>
      <c r="C63" s="22"/>
      <c r="D63" s="22"/>
      <c r="G63" s="23">
        <v>1</v>
      </c>
    </row>
    <row r="64" spans="2:7">
      <c r="B64" s="21"/>
      <c r="C64" s="22"/>
      <c r="D64" s="22"/>
      <c r="G64" s="23">
        <v>1</v>
      </c>
    </row>
    <row r="65" spans="2:7">
      <c r="B65" s="21"/>
      <c r="C65" s="22"/>
      <c r="D65" s="22"/>
      <c r="G65" s="23">
        <v>1</v>
      </c>
    </row>
    <row r="66" spans="2:7">
      <c r="B66" s="21"/>
      <c r="C66" s="22"/>
      <c r="D66" s="22"/>
      <c r="G66" s="23">
        <v>1</v>
      </c>
    </row>
    <row r="67" spans="2:7">
      <c r="B67" s="21"/>
      <c r="C67" s="22"/>
      <c r="D67" s="22"/>
      <c r="G67" s="23">
        <v>1</v>
      </c>
    </row>
    <row r="68" spans="2:7">
      <c r="B68" s="21"/>
      <c r="C68" s="22"/>
      <c r="D68" s="22"/>
      <c r="G68" s="23">
        <v>1</v>
      </c>
    </row>
    <row r="69" spans="2:7">
      <c r="B69" s="21"/>
      <c r="C69" s="22"/>
      <c r="D69" s="22"/>
      <c r="G69" s="23">
        <v>1</v>
      </c>
    </row>
    <row r="70" spans="2:7">
      <c r="B70" s="21"/>
      <c r="C70" s="22"/>
      <c r="D70" s="22"/>
      <c r="G70" s="23">
        <v>1</v>
      </c>
    </row>
    <row r="71" spans="2:7">
      <c r="B71" s="21"/>
      <c r="C71" s="22"/>
      <c r="D71" s="22"/>
      <c r="G71" s="23">
        <v>1</v>
      </c>
    </row>
    <row r="72" spans="2:7">
      <c r="B72" s="21"/>
      <c r="C72" s="22"/>
      <c r="D72" s="22"/>
      <c r="G72" s="23">
        <v>1</v>
      </c>
    </row>
    <row r="73" spans="2:7">
      <c r="B73" s="21"/>
      <c r="C73" s="22"/>
      <c r="D73" s="22"/>
      <c r="G73" s="23">
        <v>1</v>
      </c>
    </row>
    <row r="74" spans="2:7">
      <c r="B74" s="21"/>
      <c r="C74" s="22"/>
      <c r="D74" s="22"/>
      <c r="G74" s="23">
        <v>1</v>
      </c>
    </row>
    <row r="75" spans="2:7">
      <c r="B75" s="21"/>
      <c r="C75" s="22"/>
      <c r="D75" s="22"/>
      <c r="G75" s="23">
        <v>1</v>
      </c>
    </row>
    <row r="76" spans="2:7">
      <c r="B76" s="21"/>
      <c r="C76" s="22"/>
      <c r="D76" s="22"/>
      <c r="G76" s="23">
        <v>1</v>
      </c>
    </row>
    <row r="77" spans="2:7">
      <c r="B77" s="21"/>
      <c r="C77" s="22"/>
      <c r="D77" s="22"/>
      <c r="G77" s="23">
        <v>1</v>
      </c>
    </row>
    <row r="78" spans="2:7">
      <c r="B78" s="21"/>
      <c r="C78" s="22"/>
      <c r="D78" s="22"/>
      <c r="G78" s="23">
        <v>1</v>
      </c>
    </row>
    <row r="79" spans="2:7">
      <c r="B79" s="21"/>
      <c r="C79" s="22"/>
      <c r="D79" s="22"/>
      <c r="G79" s="23">
        <v>1</v>
      </c>
    </row>
    <row r="80" spans="2:7">
      <c r="B80" s="21"/>
      <c r="C80" s="22"/>
      <c r="D80" s="22"/>
      <c r="G80" s="23">
        <v>1</v>
      </c>
    </row>
    <row r="81" spans="2:9">
      <c r="B81" s="21"/>
      <c r="C81" s="22"/>
      <c r="D81" s="22"/>
      <c r="G81" s="23">
        <v>1</v>
      </c>
    </row>
    <row r="82" spans="2:9">
      <c r="B82" s="21"/>
      <c r="C82" s="22"/>
      <c r="D82" s="22"/>
      <c r="G82" s="23">
        <v>1</v>
      </c>
    </row>
    <row r="83" spans="2:9">
      <c r="B83" s="21"/>
      <c r="C83" s="22"/>
      <c r="D83" s="22"/>
      <c r="G83" s="23">
        <v>1</v>
      </c>
    </row>
    <row r="84" spans="2:9">
      <c r="B84" s="21"/>
      <c r="C84" s="22"/>
      <c r="D84" s="22"/>
      <c r="G84" s="23">
        <v>1</v>
      </c>
    </row>
    <row r="85" spans="2:9">
      <c r="B85" s="21"/>
      <c r="C85" s="22"/>
      <c r="D85" s="22"/>
      <c r="G85" s="23">
        <v>1</v>
      </c>
    </row>
    <row r="86" spans="2:9">
      <c r="B86" s="21"/>
      <c r="C86" s="22"/>
      <c r="D86" s="22"/>
      <c r="G86" s="23">
        <v>1</v>
      </c>
    </row>
    <row r="87" spans="2:9">
      <c r="B87" s="21"/>
      <c r="C87" s="22"/>
      <c r="D87" s="22"/>
      <c r="G87" s="23">
        <v>1</v>
      </c>
    </row>
    <row r="88" spans="2:9">
      <c r="B88" s="21"/>
      <c r="C88" s="22"/>
      <c r="D88" s="22"/>
      <c r="G88" s="23">
        <v>1</v>
      </c>
    </row>
    <row r="89" spans="2:9">
      <c r="B89" s="21"/>
      <c r="C89" s="22"/>
      <c r="D89" s="22"/>
      <c r="G89" s="23">
        <v>1</v>
      </c>
    </row>
    <row r="90" spans="2:9">
      <c r="B90" s="21"/>
      <c r="C90" s="22"/>
      <c r="D90" s="22"/>
      <c r="G90" s="23">
        <v>1</v>
      </c>
      <c r="I90" t="s">
        <v>206</v>
      </c>
    </row>
    <row r="91" spans="2:9">
      <c r="C91" s="19"/>
      <c r="D91" s="19"/>
      <c r="G91" s="23">
        <v>1</v>
      </c>
    </row>
    <row r="92" spans="2:9">
      <c r="C92" s="19"/>
      <c r="D92" s="19"/>
      <c r="G92" s="23">
        <v>1</v>
      </c>
    </row>
    <row r="93" spans="2:9">
      <c r="C93" s="19"/>
      <c r="D93" s="19"/>
      <c r="G93" s="23">
        <v>1</v>
      </c>
    </row>
    <row r="94" spans="2:9">
      <c r="C94" s="19"/>
      <c r="D94" s="19"/>
      <c r="G94" s="23">
        <v>1</v>
      </c>
    </row>
    <row r="95" spans="2:9">
      <c r="C95" s="19"/>
      <c r="D95" s="19"/>
      <c r="G95" s="23">
        <v>1</v>
      </c>
      <c r="I95" t="s">
        <v>207</v>
      </c>
    </row>
    <row r="96" spans="2:9">
      <c r="C96" s="19"/>
      <c r="D96" s="19"/>
      <c r="G96" s="23">
        <v>1</v>
      </c>
    </row>
    <row r="97" spans="3:9">
      <c r="C97" s="19"/>
      <c r="D97" s="19"/>
      <c r="G97" s="23">
        <v>1</v>
      </c>
    </row>
    <row r="98" spans="3:9">
      <c r="C98" s="19"/>
      <c r="D98" s="19"/>
      <c r="G98" s="23">
        <v>1</v>
      </c>
    </row>
    <row r="99" spans="3:9">
      <c r="C99" s="19"/>
      <c r="D99" s="19"/>
      <c r="G99" s="23">
        <v>1</v>
      </c>
    </row>
    <row r="100" spans="3:9">
      <c r="C100" s="19"/>
      <c r="D100" s="19"/>
      <c r="G100" s="23">
        <v>1</v>
      </c>
    </row>
    <row r="101" spans="3:9">
      <c r="C101" s="19"/>
      <c r="D101" s="19"/>
      <c r="G101" s="23">
        <v>1</v>
      </c>
    </row>
    <row r="102" spans="3:9">
      <c r="C102" s="19"/>
      <c r="D102" s="19"/>
      <c r="G102" s="23">
        <v>1</v>
      </c>
    </row>
    <row r="103" spans="3:9">
      <c r="C103" s="19"/>
      <c r="D103" s="19"/>
      <c r="G103" s="23">
        <v>1</v>
      </c>
      <c r="I103" t="s">
        <v>208</v>
      </c>
    </row>
    <row r="104" spans="3:9">
      <c r="C104" s="19"/>
      <c r="D104" s="19"/>
      <c r="G104" s="23">
        <v>1</v>
      </c>
    </row>
    <row r="105" spans="3:9">
      <c r="C105" s="19"/>
      <c r="D105" s="19"/>
      <c r="G105" s="23">
        <v>1</v>
      </c>
    </row>
    <row r="106" spans="3:9">
      <c r="C106" s="19"/>
      <c r="D106" s="19"/>
      <c r="G106" s="23">
        <v>1</v>
      </c>
    </row>
    <row r="107" spans="3:9">
      <c r="C107" s="19"/>
      <c r="D107" s="19"/>
      <c r="G107" s="23">
        <v>1</v>
      </c>
    </row>
    <row r="108" spans="3:9">
      <c r="C108" s="19"/>
      <c r="D108" s="19"/>
      <c r="G108" s="23">
        <v>1</v>
      </c>
    </row>
    <row r="109" spans="3:9">
      <c r="C109" s="19"/>
      <c r="D109" s="19"/>
      <c r="G109" s="23">
        <v>1</v>
      </c>
    </row>
    <row r="110" spans="3:9">
      <c r="C110" s="19"/>
      <c r="D110" s="19"/>
      <c r="G110" s="23">
        <v>1</v>
      </c>
    </row>
    <row r="111" spans="3:9">
      <c r="C111" s="19"/>
      <c r="D111" s="19"/>
      <c r="G111" s="23">
        <v>1</v>
      </c>
    </row>
    <row r="112" spans="3:9">
      <c r="C112" s="19"/>
      <c r="D112" s="19"/>
      <c r="G112" s="23">
        <v>1</v>
      </c>
    </row>
    <row r="113" spans="3:9">
      <c r="C113" s="19"/>
      <c r="D113" s="19"/>
      <c r="G113" s="23">
        <v>1</v>
      </c>
    </row>
    <row r="114" spans="3:9">
      <c r="C114" s="19"/>
      <c r="D114" s="19"/>
      <c r="G114" s="23">
        <v>1</v>
      </c>
    </row>
    <row r="115" spans="3:9">
      <c r="C115" s="19"/>
      <c r="D115" s="19"/>
      <c r="G115" s="23">
        <v>1</v>
      </c>
      <c r="I115" t="s">
        <v>209</v>
      </c>
    </row>
    <row r="116" spans="3:9">
      <c r="C116" s="27"/>
      <c r="D116" s="19"/>
      <c r="G116" s="23">
        <v>1</v>
      </c>
    </row>
    <row r="117" spans="3:9">
      <c r="C117" s="27"/>
      <c r="D117" s="19"/>
      <c r="G117" s="23">
        <v>1</v>
      </c>
    </row>
    <row r="118" spans="3:9">
      <c r="C118" s="28"/>
      <c r="D118" s="19"/>
      <c r="G118" s="23">
        <v>1</v>
      </c>
    </row>
    <row r="119" spans="3:9">
      <c r="C119" s="19"/>
      <c r="D119" s="19"/>
      <c r="G119" s="23">
        <v>1</v>
      </c>
    </row>
    <row r="120" spans="3:9">
      <c r="C120" s="19"/>
      <c r="D120" s="19"/>
      <c r="G120" s="23">
        <v>1</v>
      </c>
    </row>
    <row r="121" spans="3:9">
      <c r="C121" s="19"/>
      <c r="D121" s="19"/>
      <c r="G121" s="23">
        <v>1</v>
      </c>
    </row>
    <row r="122" spans="3:9">
      <c r="C122" s="19"/>
      <c r="D122" s="19"/>
      <c r="G122" s="23">
        <v>1</v>
      </c>
    </row>
    <row r="123" spans="3:9">
      <c r="C123" s="19"/>
      <c r="D123" s="19"/>
      <c r="G123" s="23">
        <v>1</v>
      </c>
    </row>
    <row r="124" spans="3:9">
      <c r="C124" s="19"/>
      <c r="D124" s="19"/>
      <c r="G124" s="23">
        <v>1</v>
      </c>
    </row>
    <row r="125" spans="3:9">
      <c r="C125" s="19"/>
      <c r="D125" s="19"/>
      <c r="G125" s="23">
        <v>1</v>
      </c>
    </row>
    <row r="126" spans="3:9">
      <c r="C126" s="19"/>
      <c r="D126" s="19"/>
      <c r="G126" s="23">
        <v>1</v>
      </c>
    </row>
    <row r="127" spans="3:9">
      <c r="C127" s="19"/>
      <c r="D127" s="19"/>
      <c r="G127" s="23">
        <v>1</v>
      </c>
    </row>
    <row r="128" spans="3:9">
      <c r="C128" s="19"/>
      <c r="D128" s="19"/>
      <c r="G128" s="23">
        <v>1</v>
      </c>
    </row>
    <row r="129" spans="3:7">
      <c r="C129" s="19"/>
      <c r="D129" s="19"/>
      <c r="G129" s="23">
        <v>1</v>
      </c>
    </row>
    <row r="130" spans="3:7">
      <c r="C130" s="19"/>
      <c r="D130" s="19"/>
      <c r="G130" s="23">
        <v>1</v>
      </c>
    </row>
    <row r="131" spans="3:7">
      <c r="C131" s="19"/>
      <c r="D131" s="19"/>
      <c r="G131" s="23">
        <v>1</v>
      </c>
    </row>
    <row r="132" spans="3:7">
      <c r="C132" s="19"/>
      <c r="D132" s="19"/>
      <c r="G132" s="23">
        <v>1</v>
      </c>
    </row>
    <row r="133" spans="3:7">
      <c r="C133" s="19"/>
      <c r="D133" s="27"/>
      <c r="G133" s="23">
        <v>1</v>
      </c>
    </row>
    <row r="134" spans="3:7">
      <c r="C134" s="19"/>
      <c r="D134" s="19"/>
      <c r="G134" s="23">
        <v>1</v>
      </c>
    </row>
    <row r="135" spans="3:7">
      <c r="C135" s="19"/>
      <c r="D135" s="19"/>
      <c r="G135" s="23">
        <v>1</v>
      </c>
    </row>
    <row r="136" spans="3:7">
      <c r="C136" s="19"/>
      <c r="D136" s="27"/>
      <c r="G136" s="23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30EDB-42B9-DC41-8C2C-9111EF2D2B23}">
  <dimension ref="A1:J1463"/>
  <sheetViews>
    <sheetView topLeftCell="A1165" zoomScale="75" workbookViewId="0">
      <selection activeCell="G450" sqref="G450"/>
    </sheetView>
  </sheetViews>
  <sheetFormatPr baseColWidth="10" defaultColWidth="11" defaultRowHeight="15.6"/>
  <cols>
    <col min="1" max="1" width="25.8984375" customWidth="1"/>
    <col min="2" max="2" width="22.3984375" style="2" customWidth="1"/>
    <col min="3" max="3" width="20" style="4" customWidth="1"/>
    <col min="4" max="4" width="22.3984375" style="4" customWidth="1"/>
    <col min="5" max="5" width="25.8984375" style="4" customWidth="1"/>
    <col min="6" max="7" width="20" style="31" customWidth="1"/>
    <col min="8" max="8" width="21" customWidth="1"/>
  </cols>
  <sheetData>
    <row r="1" spans="1:10" ht="18">
      <c r="A1" s="8" t="s">
        <v>210</v>
      </c>
      <c r="B1" s="12" t="s">
        <v>211</v>
      </c>
      <c r="C1" s="10" t="s">
        <v>212</v>
      </c>
      <c r="D1" s="10" t="s">
        <v>213</v>
      </c>
      <c r="E1" s="10" t="s">
        <v>214</v>
      </c>
      <c r="F1" s="29" t="s">
        <v>215</v>
      </c>
      <c r="G1" s="29" t="s">
        <v>216</v>
      </c>
      <c r="H1" s="8" t="s">
        <v>0</v>
      </c>
    </row>
    <row r="2" spans="1:10">
      <c r="A2" s="7"/>
      <c r="B2" s="13">
        <v>44927</v>
      </c>
      <c r="C2" s="32">
        <v>0</v>
      </c>
      <c r="D2" s="32">
        <v>1</v>
      </c>
      <c r="E2" s="32">
        <v>0</v>
      </c>
      <c r="F2" s="30"/>
      <c r="G2" s="30"/>
      <c r="H2" s="11"/>
    </row>
    <row r="3" spans="1:10">
      <c r="B3" s="2">
        <v>44928</v>
      </c>
      <c r="C3" s="33">
        <v>1</v>
      </c>
      <c r="D3" s="33">
        <v>0</v>
      </c>
      <c r="E3" s="33">
        <v>1</v>
      </c>
      <c r="F3" s="31">
        <v>0.41666666666666669</v>
      </c>
      <c r="G3" s="31">
        <v>0.91666666666666663</v>
      </c>
    </row>
    <row r="4" spans="1:10">
      <c r="B4" s="2">
        <v>44929</v>
      </c>
      <c r="C4" s="33">
        <v>1</v>
      </c>
      <c r="D4" s="33">
        <v>0</v>
      </c>
      <c r="E4" s="33">
        <v>0</v>
      </c>
      <c r="F4" s="31">
        <v>0.41666666666666669</v>
      </c>
      <c r="G4" s="31">
        <v>0.91666666666666663</v>
      </c>
    </row>
    <row r="5" spans="1:10">
      <c r="B5" s="2">
        <v>44930</v>
      </c>
      <c r="C5" s="33">
        <v>1</v>
      </c>
      <c r="D5" s="33">
        <v>0</v>
      </c>
      <c r="E5" s="33">
        <v>0</v>
      </c>
      <c r="F5" s="31">
        <v>0.41666666666666669</v>
      </c>
      <c r="G5" s="31">
        <v>0.91666666666666663</v>
      </c>
    </row>
    <row r="6" spans="1:10">
      <c r="B6" s="2">
        <v>44931</v>
      </c>
      <c r="C6" s="33">
        <v>1</v>
      </c>
      <c r="D6" s="33">
        <v>0</v>
      </c>
      <c r="E6" s="33">
        <v>0</v>
      </c>
      <c r="F6" s="31">
        <v>0.41666666666666669</v>
      </c>
      <c r="G6" s="31">
        <v>0.91666666666666663</v>
      </c>
    </row>
    <row r="7" spans="1:10">
      <c r="B7" s="2">
        <v>44932</v>
      </c>
      <c r="C7" s="33">
        <v>0</v>
      </c>
      <c r="D7" s="33">
        <v>1</v>
      </c>
      <c r="E7" s="33">
        <v>0</v>
      </c>
    </row>
    <row r="8" spans="1:10">
      <c r="B8" s="2">
        <v>44933</v>
      </c>
      <c r="C8" s="33">
        <v>1</v>
      </c>
      <c r="D8" s="33">
        <v>0</v>
      </c>
      <c r="E8" s="33">
        <v>1</v>
      </c>
      <c r="F8" s="31">
        <v>0.41666666666666669</v>
      </c>
      <c r="G8" s="31">
        <v>0.91666666666666663</v>
      </c>
    </row>
    <row r="9" spans="1:10">
      <c r="B9" s="2">
        <v>44934</v>
      </c>
      <c r="C9" s="33">
        <v>1</v>
      </c>
      <c r="D9" s="33">
        <v>0</v>
      </c>
      <c r="E9" s="33">
        <v>0</v>
      </c>
      <c r="F9" s="31">
        <v>0.41666666666666669</v>
      </c>
      <c r="G9" s="31">
        <v>0.91666666666666663</v>
      </c>
    </row>
    <row r="10" spans="1:10">
      <c r="B10" s="2">
        <v>44935</v>
      </c>
      <c r="C10" s="33">
        <v>1</v>
      </c>
      <c r="D10" s="33">
        <v>0</v>
      </c>
      <c r="E10" s="33">
        <v>0</v>
      </c>
      <c r="F10" s="31">
        <v>0.41666666666666669</v>
      </c>
      <c r="G10" s="31">
        <v>0.91666666666666663</v>
      </c>
    </row>
    <row r="11" spans="1:10">
      <c r="B11" s="2">
        <v>44936</v>
      </c>
      <c r="C11" s="33">
        <v>1</v>
      </c>
      <c r="D11" s="33">
        <v>0</v>
      </c>
      <c r="E11" s="33">
        <v>0</v>
      </c>
      <c r="F11" s="31">
        <v>0.41666666666666669</v>
      </c>
      <c r="G11" s="31">
        <v>0.91666666666666663</v>
      </c>
    </row>
    <row r="12" spans="1:10">
      <c r="B12" s="2">
        <v>44937</v>
      </c>
      <c r="C12" s="33">
        <v>1</v>
      </c>
      <c r="D12" s="33">
        <v>0</v>
      </c>
      <c r="E12" s="33">
        <v>0</v>
      </c>
      <c r="F12" s="31">
        <v>0.41666666666666669</v>
      </c>
      <c r="G12" s="31">
        <v>0.91666666666666663</v>
      </c>
    </row>
    <row r="13" spans="1:10">
      <c r="B13" s="2">
        <v>44938</v>
      </c>
      <c r="C13" s="33">
        <v>1</v>
      </c>
      <c r="D13" s="33">
        <v>0</v>
      </c>
      <c r="E13" s="33">
        <v>0</v>
      </c>
      <c r="F13" s="31">
        <v>0.41666666666666669</v>
      </c>
      <c r="G13" s="31">
        <v>0.91666666666666663</v>
      </c>
      <c r="J13" t="s">
        <v>217</v>
      </c>
    </row>
    <row r="14" spans="1:10">
      <c r="B14" s="2">
        <v>44939</v>
      </c>
      <c r="C14" s="33">
        <v>1</v>
      </c>
      <c r="D14" s="33">
        <v>0</v>
      </c>
      <c r="E14" s="33">
        <v>0</v>
      </c>
      <c r="F14" s="31">
        <v>0.41666666666666669</v>
      </c>
      <c r="G14" s="31">
        <v>0.91666666666666663</v>
      </c>
    </row>
    <row r="15" spans="1:10">
      <c r="B15" s="2">
        <v>44940</v>
      </c>
      <c r="C15" s="33">
        <v>1</v>
      </c>
      <c r="D15" s="33">
        <v>0</v>
      </c>
      <c r="E15" s="33">
        <v>0</v>
      </c>
      <c r="F15" s="31">
        <v>0.41666666666666669</v>
      </c>
      <c r="G15" s="31">
        <v>0.91666666666666663</v>
      </c>
    </row>
    <row r="16" spans="1:10">
      <c r="B16" s="2">
        <v>44941</v>
      </c>
      <c r="C16" s="33">
        <v>1</v>
      </c>
      <c r="D16" s="33">
        <v>0</v>
      </c>
      <c r="E16" s="33">
        <v>0</v>
      </c>
      <c r="F16" s="31">
        <v>0.41666666666666669</v>
      </c>
      <c r="G16" s="31">
        <v>0.91666666666666663</v>
      </c>
    </row>
    <row r="17" spans="2:7">
      <c r="B17" s="2">
        <v>44942</v>
      </c>
      <c r="C17" s="33">
        <v>1</v>
      </c>
      <c r="D17" s="33">
        <v>0</v>
      </c>
      <c r="E17" s="33">
        <v>0</v>
      </c>
      <c r="F17" s="31">
        <v>0.41666666666666669</v>
      </c>
      <c r="G17" s="31">
        <v>0.91666666666666663</v>
      </c>
    </row>
    <row r="18" spans="2:7">
      <c r="B18" s="2">
        <v>44943</v>
      </c>
      <c r="C18" s="33">
        <v>1</v>
      </c>
      <c r="D18" s="33">
        <v>0</v>
      </c>
      <c r="E18" s="33">
        <v>0</v>
      </c>
      <c r="F18" s="31">
        <v>0.41666666666666669</v>
      </c>
      <c r="G18" s="31">
        <v>0.91666666666666663</v>
      </c>
    </row>
    <row r="19" spans="2:7">
      <c r="B19" s="2">
        <v>44944</v>
      </c>
      <c r="C19" s="33">
        <v>1</v>
      </c>
      <c r="D19" s="33">
        <v>0</v>
      </c>
      <c r="E19" s="33">
        <v>0</v>
      </c>
      <c r="F19" s="31">
        <v>0.41666666666666669</v>
      </c>
      <c r="G19" s="31">
        <v>0.91666666666666663</v>
      </c>
    </row>
    <row r="20" spans="2:7">
      <c r="B20" s="2">
        <v>44945</v>
      </c>
      <c r="C20" s="33">
        <v>1</v>
      </c>
      <c r="D20" s="33">
        <v>0</v>
      </c>
      <c r="E20" s="33">
        <v>0</v>
      </c>
      <c r="F20" s="31">
        <v>0.41666666666666669</v>
      </c>
      <c r="G20" s="31">
        <v>0.91666666666666663</v>
      </c>
    </row>
    <row r="21" spans="2:7">
      <c r="B21" s="2">
        <v>44946</v>
      </c>
      <c r="C21" s="33">
        <v>1</v>
      </c>
      <c r="D21" s="33">
        <v>0</v>
      </c>
      <c r="E21" s="33">
        <v>0</v>
      </c>
      <c r="F21" s="31">
        <v>0.41666666666666669</v>
      </c>
      <c r="G21" s="31">
        <v>0.91666666666666663</v>
      </c>
    </row>
    <row r="22" spans="2:7">
      <c r="B22" s="2">
        <v>44947</v>
      </c>
      <c r="C22" s="33">
        <v>1</v>
      </c>
      <c r="D22" s="33">
        <v>0</v>
      </c>
      <c r="E22" s="33">
        <v>0</v>
      </c>
      <c r="F22" s="31">
        <v>0.41666666666666669</v>
      </c>
      <c r="G22" s="31">
        <v>0.91666666666666663</v>
      </c>
    </row>
    <row r="23" spans="2:7">
      <c r="B23" s="2">
        <v>44948</v>
      </c>
      <c r="C23" s="33">
        <v>0</v>
      </c>
      <c r="D23" s="33">
        <v>1</v>
      </c>
      <c r="E23" s="33">
        <v>0</v>
      </c>
    </row>
    <row r="24" spans="2:7">
      <c r="B24" s="2">
        <v>44949</v>
      </c>
      <c r="C24" s="33">
        <v>1</v>
      </c>
      <c r="D24" s="33">
        <v>0</v>
      </c>
      <c r="E24" s="33">
        <v>1</v>
      </c>
      <c r="F24" s="31">
        <v>0.41666666666666669</v>
      </c>
      <c r="G24" s="31">
        <v>0.91666666666666663</v>
      </c>
    </row>
    <row r="25" spans="2:7">
      <c r="B25" s="2">
        <v>44950</v>
      </c>
      <c r="C25" s="33">
        <v>1</v>
      </c>
      <c r="D25" s="33">
        <v>0</v>
      </c>
      <c r="E25" s="33">
        <v>0</v>
      </c>
      <c r="F25" s="31">
        <v>0.41666666666666669</v>
      </c>
      <c r="G25" s="31">
        <v>0.91666666666666663</v>
      </c>
    </row>
    <row r="26" spans="2:7">
      <c r="B26" s="2">
        <v>44951</v>
      </c>
      <c r="C26" s="33">
        <v>1</v>
      </c>
      <c r="D26" s="33">
        <v>0</v>
      </c>
      <c r="E26" s="33">
        <v>0</v>
      </c>
      <c r="F26" s="31">
        <v>0.41666666666666669</v>
      </c>
      <c r="G26" s="31">
        <v>0.91666666666666663</v>
      </c>
    </row>
    <row r="27" spans="2:7">
      <c r="B27" s="2">
        <v>44952</v>
      </c>
      <c r="C27" s="33">
        <v>1</v>
      </c>
      <c r="D27" s="33">
        <v>0</v>
      </c>
      <c r="E27" s="33">
        <v>0</v>
      </c>
      <c r="F27" s="31">
        <v>0.41666666666666669</v>
      </c>
      <c r="G27" s="31">
        <v>0.91666666666666663</v>
      </c>
    </row>
    <row r="28" spans="2:7">
      <c r="B28" s="2">
        <v>44953</v>
      </c>
      <c r="C28" s="33">
        <v>1</v>
      </c>
      <c r="D28" s="33">
        <v>0</v>
      </c>
      <c r="E28" s="33">
        <v>0</v>
      </c>
      <c r="F28" s="31">
        <v>0.41666666666666669</v>
      </c>
      <c r="G28" s="31">
        <v>0.91666666666666663</v>
      </c>
    </row>
    <row r="29" spans="2:7">
      <c r="B29" s="2">
        <v>44954</v>
      </c>
      <c r="C29" s="33">
        <v>1</v>
      </c>
      <c r="D29" s="33">
        <v>0</v>
      </c>
      <c r="E29" s="33">
        <v>0</v>
      </c>
      <c r="F29" s="31">
        <v>0.41666666666666669</v>
      </c>
      <c r="G29" s="31">
        <v>0.91666666666666663</v>
      </c>
    </row>
    <row r="30" spans="2:7">
      <c r="B30" s="2">
        <v>44955</v>
      </c>
      <c r="C30" s="33">
        <v>0</v>
      </c>
      <c r="D30" s="33">
        <v>1</v>
      </c>
      <c r="E30" s="33">
        <v>0</v>
      </c>
    </row>
    <row r="31" spans="2:7">
      <c r="B31" s="2">
        <v>44956</v>
      </c>
      <c r="C31" s="33">
        <v>1</v>
      </c>
      <c r="D31" s="33">
        <v>0</v>
      </c>
      <c r="E31" s="33">
        <v>1</v>
      </c>
      <c r="F31" s="31">
        <v>0.41666666666666669</v>
      </c>
      <c r="G31" s="31">
        <v>0.91666666666666663</v>
      </c>
    </row>
    <row r="32" spans="2:7">
      <c r="B32" s="2">
        <v>44957</v>
      </c>
      <c r="C32" s="33">
        <v>1</v>
      </c>
      <c r="D32" s="33">
        <v>0</v>
      </c>
      <c r="E32" s="33">
        <v>0</v>
      </c>
      <c r="F32" s="31">
        <v>0.41666666666666669</v>
      </c>
      <c r="G32" s="31">
        <v>0.91666666666666663</v>
      </c>
    </row>
    <row r="33" spans="2:7">
      <c r="B33" s="2">
        <v>44958</v>
      </c>
      <c r="C33" s="33">
        <v>1</v>
      </c>
      <c r="D33" s="33">
        <v>0</v>
      </c>
      <c r="E33" s="33">
        <v>0</v>
      </c>
      <c r="F33" s="31">
        <v>0.41666666666666669</v>
      </c>
      <c r="G33" s="31">
        <v>0.91666666666666663</v>
      </c>
    </row>
    <row r="34" spans="2:7">
      <c r="B34" s="2">
        <v>44959</v>
      </c>
      <c r="C34" s="33">
        <v>1</v>
      </c>
      <c r="D34" s="33">
        <v>0</v>
      </c>
      <c r="E34" s="33">
        <v>0</v>
      </c>
      <c r="F34" s="31">
        <v>0.41666666666666669</v>
      </c>
      <c r="G34" s="31">
        <v>0.91666666666666663</v>
      </c>
    </row>
    <row r="35" spans="2:7">
      <c r="B35" s="2">
        <v>44960</v>
      </c>
      <c r="C35" s="33">
        <v>1</v>
      </c>
      <c r="D35" s="33">
        <v>0</v>
      </c>
      <c r="E35" s="33">
        <v>0</v>
      </c>
      <c r="F35" s="31">
        <v>0.41666666666666669</v>
      </c>
      <c r="G35" s="31">
        <v>0.91666666666666663</v>
      </c>
    </row>
    <row r="36" spans="2:7">
      <c r="B36" s="2">
        <v>44961</v>
      </c>
      <c r="C36" s="33">
        <v>1</v>
      </c>
      <c r="D36" s="33">
        <v>0</v>
      </c>
      <c r="E36" s="33">
        <v>0</v>
      </c>
      <c r="F36" s="31">
        <v>0.41666666666666669</v>
      </c>
      <c r="G36" s="31">
        <v>0.91666666666666663</v>
      </c>
    </row>
    <row r="37" spans="2:7">
      <c r="B37" s="2">
        <v>44962</v>
      </c>
      <c r="C37" s="33">
        <v>0</v>
      </c>
      <c r="D37" s="33">
        <v>1</v>
      </c>
      <c r="E37" s="33">
        <v>0</v>
      </c>
    </row>
    <row r="38" spans="2:7">
      <c r="B38" s="2">
        <v>44963</v>
      </c>
      <c r="C38" s="33">
        <v>1</v>
      </c>
      <c r="D38" s="33">
        <v>0</v>
      </c>
      <c r="E38" s="33">
        <v>1</v>
      </c>
      <c r="F38" s="31">
        <v>0.41666666666666669</v>
      </c>
      <c r="G38" s="31">
        <v>0.91666666666666663</v>
      </c>
    </row>
    <row r="39" spans="2:7">
      <c r="B39" s="2">
        <v>44964</v>
      </c>
      <c r="C39" s="33">
        <v>1</v>
      </c>
      <c r="D39" s="33">
        <v>0</v>
      </c>
      <c r="E39" s="33">
        <v>0</v>
      </c>
      <c r="F39" s="31">
        <v>0.41666666666666669</v>
      </c>
      <c r="G39" s="31">
        <v>0.91666666666666663</v>
      </c>
    </row>
    <row r="40" spans="2:7">
      <c r="B40" s="2">
        <v>44965</v>
      </c>
      <c r="C40" s="33">
        <v>1</v>
      </c>
      <c r="D40" s="33">
        <v>0</v>
      </c>
      <c r="E40" s="33">
        <v>0</v>
      </c>
      <c r="F40" s="31">
        <v>0.41666666666666669</v>
      </c>
      <c r="G40" s="31">
        <v>0.91666666666666663</v>
      </c>
    </row>
    <row r="41" spans="2:7">
      <c r="B41" s="2">
        <v>44966</v>
      </c>
      <c r="C41" s="33">
        <v>1</v>
      </c>
      <c r="D41" s="33">
        <v>0</v>
      </c>
      <c r="E41" s="33">
        <v>0</v>
      </c>
      <c r="F41" s="31">
        <v>0.41666666666666669</v>
      </c>
      <c r="G41" s="31">
        <v>0.91666666666666663</v>
      </c>
    </row>
    <row r="42" spans="2:7">
      <c r="B42" s="2">
        <v>44967</v>
      </c>
      <c r="C42" s="33">
        <v>1</v>
      </c>
      <c r="D42" s="33">
        <v>0</v>
      </c>
      <c r="E42" s="33">
        <v>0</v>
      </c>
      <c r="F42" s="31">
        <v>0.41666666666666669</v>
      </c>
      <c r="G42" s="31">
        <v>0.91666666666666663</v>
      </c>
    </row>
    <row r="43" spans="2:7">
      <c r="B43" s="2">
        <v>44968</v>
      </c>
      <c r="C43" s="33">
        <v>1</v>
      </c>
      <c r="D43" s="33">
        <v>0</v>
      </c>
      <c r="E43" s="33">
        <v>0</v>
      </c>
      <c r="F43" s="31">
        <v>0.41666666666666669</v>
      </c>
      <c r="G43" s="31">
        <v>0.91666666666666663</v>
      </c>
    </row>
    <row r="44" spans="2:7">
      <c r="B44" s="2">
        <v>44969</v>
      </c>
      <c r="C44" s="33">
        <v>0</v>
      </c>
      <c r="D44" s="33">
        <v>1</v>
      </c>
      <c r="E44" s="33">
        <v>0</v>
      </c>
    </row>
    <row r="45" spans="2:7">
      <c r="B45" s="2">
        <v>44970</v>
      </c>
      <c r="C45" s="33">
        <v>1</v>
      </c>
      <c r="D45" s="33">
        <v>0</v>
      </c>
      <c r="E45" s="33">
        <v>1</v>
      </c>
      <c r="F45" s="31">
        <v>0.41666666666666669</v>
      </c>
      <c r="G45" s="31">
        <v>0.91666666666666663</v>
      </c>
    </row>
    <row r="46" spans="2:7">
      <c r="B46" s="2">
        <v>44971</v>
      </c>
      <c r="C46" s="33">
        <v>1</v>
      </c>
      <c r="D46" s="33">
        <v>0</v>
      </c>
      <c r="E46" s="33">
        <v>0</v>
      </c>
      <c r="F46" s="31">
        <v>0.41666666666666669</v>
      </c>
      <c r="G46" s="31">
        <v>0.91666666666666663</v>
      </c>
    </row>
    <row r="47" spans="2:7">
      <c r="B47" s="2">
        <v>44972</v>
      </c>
      <c r="C47" s="33">
        <v>1</v>
      </c>
      <c r="D47" s="33">
        <v>0</v>
      </c>
      <c r="E47" s="33">
        <v>0</v>
      </c>
      <c r="F47" s="31">
        <v>0.41666666666666669</v>
      </c>
      <c r="G47" s="31">
        <v>0.91666666666666663</v>
      </c>
    </row>
    <row r="48" spans="2:7">
      <c r="B48" s="2">
        <v>44973</v>
      </c>
      <c r="C48" s="33">
        <v>1</v>
      </c>
      <c r="D48" s="33">
        <v>0</v>
      </c>
      <c r="E48" s="33">
        <v>0</v>
      </c>
      <c r="F48" s="31">
        <v>0.41666666666666669</v>
      </c>
      <c r="G48" s="31">
        <v>0.91666666666666663</v>
      </c>
    </row>
    <row r="49" spans="2:7">
      <c r="B49" s="2">
        <v>44974</v>
      </c>
      <c r="C49" s="33">
        <v>1</v>
      </c>
      <c r="D49" s="33">
        <v>0</v>
      </c>
      <c r="E49" s="33">
        <v>0</v>
      </c>
      <c r="F49" s="31">
        <v>0.41666666666666669</v>
      </c>
      <c r="G49" s="31">
        <v>0.91666666666666663</v>
      </c>
    </row>
    <row r="50" spans="2:7">
      <c r="B50" s="2">
        <v>44975</v>
      </c>
      <c r="C50" s="33">
        <v>1</v>
      </c>
      <c r="D50" s="33">
        <v>0</v>
      </c>
      <c r="E50" s="33">
        <v>0</v>
      </c>
      <c r="F50" s="31">
        <v>0.41666666666666669</v>
      </c>
      <c r="G50" s="31">
        <v>0.91666666666666663</v>
      </c>
    </row>
    <row r="51" spans="2:7">
      <c r="B51" s="2">
        <v>44976</v>
      </c>
      <c r="C51" s="33">
        <v>0</v>
      </c>
      <c r="D51" s="33">
        <v>1</v>
      </c>
      <c r="E51" s="33">
        <v>0</v>
      </c>
    </row>
    <row r="52" spans="2:7">
      <c r="B52" s="2">
        <v>44977</v>
      </c>
      <c r="C52" s="33">
        <v>1</v>
      </c>
      <c r="D52" s="33">
        <v>0</v>
      </c>
      <c r="E52" s="33">
        <v>1</v>
      </c>
      <c r="F52" s="31">
        <v>0.41666666666666669</v>
      </c>
      <c r="G52" s="31">
        <v>0.91666666666666663</v>
      </c>
    </row>
    <row r="53" spans="2:7">
      <c r="B53" s="2">
        <v>44978</v>
      </c>
      <c r="C53" s="33">
        <v>1</v>
      </c>
      <c r="D53" s="33">
        <v>0</v>
      </c>
      <c r="E53" s="33">
        <v>0</v>
      </c>
      <c r="F53" s="31">
        <v>0.41666666666666669</v>
      </c>
      <c r="G53" s="31">
        <v>0.91666666666666663</v>
      </c>
    </row>
    <row r="54" spans="2:7">
      <c r="B54" s="2">
        <v>44979</v>
      </c>
      <c r="C54" s="33">
        <v>1</v>
      </c>
      <c r="D54" s="33">
        <v>0</v>
      </c>
      <c r="E54" s="33">
        <v>0</v>
      </c>
      <c r="F54" s="31">
        <v>0.41666666666666669</v>
      </c>
      <c r="G54" s="31">
        <v>0.91666666666666663</v>
      </c>
    </row>
    <row r="55" spans="2:7">
      <c r="B55" s="2">
        <v>44980</v>
      </c>
      <c r="C55" s="33">
        <v>1</v>
      </c>
      <c r="D55" s="33">
        <v>0</v>
      </c>
      <c r="E55" s="33">
        <v>0</v>
      </c>
      <c r="F55" s="31">
        <v>0.41666666666666669</v>
      </c>
      <c r="G55" s="31">
        <v>0.91666666666666663</v>
      </c>
    </row>
    <row r="56" spans="2:7">
      <c r="B56" s="2">
        <v>44981</v>
      </c>
      <c r="C56" s="33">
        <v>1</v>
      </c>
      <c r="D56" s="33">
        <v>0</v>
      </c>
      <c r="E56" s="33">
        <v>0</v>
      </c>
      <c r="F56" s="31">
        <v>0.41666666666666669</v>
      </c>
      <c r="G56" s="31">
        <v>0.91666666666666663</v>
      </c>
    </row>
    <row r="57" spans="2:7">
      <c r="B57" s="2">
        <v>44982</v>
      </c>
      <c r="C57" s="33">
        <v>1</v>
      </c>
      <c r="D57" s="33">
        <v>0</v>
      </c>
      <c r="E57" s="33">
        <v>0</v>
      </c>
      <c r="F57" s="31">
        <v>0.41666666666666669</v>
      </c>
      <c r="G57" s="31">
        <v>0.91666666666666663</v>
      </c>
    </row>
    <row r="58" spans="2:7">
      <c r="B58" s="2">
        <v>44983</v>
      </c>
      <c r="C58" s="33">
        <v>0</v>
      </c>
      <c r="D58" s="33">
        <v>1</v>
      </c>
      <c r="E58" s="33">
        <v>0</v>
      </c>
    </row>
    <row r="59" spans="2:7">
      <c r="B59" s="2">
        <v>44984</v>
      </c>
      <c r="C59" s="33">
        <v>1</v>
      </c>
      <c r="D59" s="33">
        <v>0</v>
      </c>
      <c r="E59" s="33">
        <v>1</v>
      </c>
      <c r="F59" s="31">
        <v>0.41666666666666669</v>
      </c>
      <c r="G59" s="31">
        <v>0.91666666666666663</v>
      </c>
    </row>
    <row r="60" spans="2:7">
      <c r="B60" s="2">
        <v>44985</v>
      </c>
      <c r="C60" s="33">
        <v>1</v>
      </c>
      <c r="D60" s="33">
        <v>0</v>
      </c>
      <c r="E60" s="33">
        <v>0</v>
      </c>
      <c r="F60" s="31">
        <v>0.41666666666666669</v>
      </c>
      <c r="G60" s="31">
        <v>0.91666666666666663</v>
      </c>
    </row>
    <row r="61" spans="2:7">
      <c r="B61" s="2">
        <v>44986</v>
      </c>
      <c r="C61" s="33">
        <v>1</v>
      </c>
      <c r="D61" s="33">
        <v>0</v>
      </c>
      <c r="E61" s="33">
        <v>0</v>
      </c>
      <c r="F61" s="31">
        <v>0.41666666666666669</v>
      </c>
      <c r="G61" s="31">
        <v>0.91666666666666663</v>
      </c>
    </row>
    <row r="62" spans="2:7">
      <c r="B62" s="2">
        <v>44987</v>
      </c>
      <c r="C62" s="33">
        <v>1</v>
      </c>
      <c r="D62" s="33">
        <v>0</v>
      </c>
      <c r="E62" s="33">
        <v>0</v>
      </c>
      <c r="F62" s="31">
        <v>0.41666666666666669</v>
      </c>
      <c r="G62" s="31">
        <v>0.91666666666666663</v>
      </c>
    </row>
    <row r="63" spans="2:7">
      <c r="B63" s="2">
        <v>44988</v>
      </c>
      <c r="C63" s="33">
        <v>1</v>
      </c>
      <c r="D63" s="33">
        <v>0</v>
      </c>
      <c r="E63" s="33">
        <v>0</v>
      </c>
      <c r="F63" s="31">
        <v>0.41666666666666669</v>
      </c>
      <c r="G63" s="31">
        <v>0.91666666666666663</v>
      </c>
    </row>
    <row r="64" spans="2:7">
      <c r="B64" s="2">
        <v>44989</v>
      </c>
      <c r="C64" s="33">
        <v>1</v>
      </c>
      <c r="D64" s="33">
        <v>0</v>
      </c>
      <c r="E64" s="33">
        <v>0</v>
      </c>
      <c r="F64" s="31">
        <v>0.41666666666666669</v>
      </c>
      <c r="G64" s="31">
        <v>0.91666666666666663</v>
      </c>
    </row>
    <row r="65" spans="2:7">
      <c r="B65" s="2">
        <v>44990</v>
      </c>
      <c r="C65" s="33">
        <v>0</v>
      </c>
      <c r="D65" s="33">
        <v>1</v>
      </c>
      <c r="E65" s="33">
        <v>0</v>
      </c>
    </row>
    <row r="66" spans="2:7">
      <c r="B66" s="2">
        <v>44991</v>
      </c>
      <c r="C66" s="33">
        <v>1</v>
      </c>
      <c r="D66" s="33">
        <v>0</v>
      </c>
      <c r="E66" s="33">
        <v>1</v>
      </c>
      <c r="F66" s="31">
        <v>0.41666666666666669</v>
      </c>
      <c r="G66" s="31">
        <v>0.91666666666666663</v>
      </c>
    </row>
    <row r="67" spans="2:7">
      <c r="B67" s="2">
        <v>44992</v>
      </c>
      <c r="C67" s="33">
        <v>1</v>
      </c>
      <c r="D67" s="33">
        <v>0</v>
      </c>
      <c r="E67" s="33">
        <v>0</v>
      </c>
      <c r="F67" s="31">
        <v>0.41666666666666669</v>
      </c>
      <c r="G67" s="31">
        <v>0.91666666666666663</v>
      </c>
    </row>
    <row r="68" spans="2:7">
      <c r="B68" s="2">
        <v>44993</v>
      </c>
      <c r="C68" s="33">
        <v>1</v>
      </c>
      <c r="D68" s="33">
        <v>0</v>
      </c>
      <c r="E68" s="33">
        <v>0</v>
      </c>
      <c r="F68" s="31">
        <v>0.41666666666666669</v>
      </c>
      <c r="G68" s="31">
        <v>0.91666666666666663</v>
      </c>
    </row>
    <row r="69" spans="2:7">
      <c r="B69" s="2">
        <v>44994</v>
      </c>
      <c r="C69" s="33">
        <v>1</v>
      </c>
      <c r="D69" s="33">
        <v>0</v>
      </c>
      <c r="E69" s="33">
        <v>0</v>
      </c>
      <c r="F69" s="31">
        <v>0.41666666666666669</v>
      </c>
      <c r="G69" s="31">
        <v>0.91666666666666663</v>
      </c>
    </row>
    <row r="70" spans="2:7">
      <c r="B70" s="2">
        <v>44995</v>
      </c>
      <c r="C70" s="33">
        <v>1</v>
      </c>
      <c r="D70" s="33">
        <v>0</v>
      </c>
      <c r="E70" s="33">
        <v>0</v>
      </c>
      <c r="F70" s="31">
        <v>0.41666666666666669</v>
      </c>
      <c r="G70" s="31">
        <v>0.91666666666666663</v>
      </c>
    </row>
    <row r="71" spans="2:7">
      <c r="B71" s="2">
        <v>44996</v>
      </c>
      <c r="C71" s="33">
        <v>1</v>
      </c>
      <c r="D71" s="33">
        <v>0</v>
      </c>
      <c r="E71" s="33">
        <v>0</v>
      </c>
      <c r="F71" s="31">
        <v>0.41666666666666669</v>
      </c>
      <c r="G71" s="31">
        <v>0.91666666666666663</v>
      </c>
    </row>
    <row r="72" spans="2:7">
      <c r="B72" s="2">
        <v>44997</v>
      </c>
      <c r="C72" s="33">
        <v>0</v>
      </c>
      <c r="D72" s="33">
        <v>1</v>
      </c>
      <c r="E72" s="33">
        <v>0</v>
      </c>
    </row>
    <row r="73" spans="2:7">
      <c r="B73" s="2">
        <v>44998</v>
      </c>
      <c r="C73" s="33">
        <v>1</v>
      </c>
      <c r="D73" s="33">
        <v>0</v>
      </c>
      <c r="E73" s="33">
        <v>1</v>
      </c>
      <c r="F73" s="31">
        <v>0.41666666666666669</v>
      </c>
      <c r="G73" s="31">
        <v>0.91666666666666663</v>
      </c>
    </row>
    <row r="74" spans="2:7">
      <c r="B74" s="2">
        <v>44999</v>
      </c>
      <c r="C74" s="33">
        <v>1</v>
      </c>
      <c r="D74" s="33">
        <v>0</v>
      </c>
      <c r="E74" s="33">
        <v>0</v>
      </c>
      <c r="F74" s="31">
        <v>0.41666666666666669</v>
      </c>
      <c r="G74" s="31">
        <v>0.91666666666666663</v>
      </c>
    </row>
    <row r="75" spans="2:7">
      <c r="B75" s="2">
        <v>45000</v>
      </c>
      <c r="C75" s="33">
        <v>1</v>
      </c>
      <c r="D75" s="33">
        <v>0</v>
      </c>
      <c r="E75" s="33">
        <v>0</v>
      </c>
      <c r="F75" s="31">
        <v>0.41666666666666669</v>
      </c>
      <c r="G75" s="31">
        <v>0.91666666666666663</v>
      </c>
    </row>
    <row r="76" spans="2:7">
      <c r="B76" s="2">
        <v>45001</v>
      </c>
      <c r="C76" s="33">
        <v>1</v>
      </c>
      <c r="D76" s="33">
        <v>0</v>
      </c>
      <c r="E76" s="33">
        <v>0</v>
      </c>
      <c r="F76" s="31">
        <v>0.41666666666666669</v>
      </c>
      <c r="G76" s="31">
        <v>0.91666666666666663</v>
      </c>
    </row>
    <row r="77" spans="2:7">
      <c r="B77" s="2">
        <v>45002</v>
      </c>
      <c r="C77" s="33">
        <v>1</v>
      </c>
      <c r="D77" s="33">
        <v>0</v>
      </c>
      <c r="E77" s="33">
        <v>0</v>
      </c>
      <c r="F77" s="31">
        <v>0.41666666666666669</v>
      </c>
      <c r="G77" s="31">
        <v>0.91666666666666663</v>
      </c>
    </row>
    <row r="78" spans="2:7">
      <c r="B78" s="2">
        <v>45003</v>
      </c>
      <c r="C78" s="33">
        <v>1</v>
      </c>
      <c r="D78" s="33">
        <v>0</v>
      </c>
      <c r="E78" s="33">
        <v>0</v>
      </c>
      <c r="F78" s="31">
        <v>0.41666666666666669</v>
      </c>
      <c r="G78" s="31">
        <v>0.91666666666666663</v>
      </c>
    </row>
    <row r="79" spans="2:7">
      <c r="B79" s="2">
        <v>45004</v>
      </c>
      <c r="C79" s="33">
        <v>0</v>
      </c>
      <c r="D79" s="33">
        <v>1</v>
      </c>
      <c r="E79" s="33">
        <v>0</v>
      </c>
    </row>
    <row r="80" spans="2:7">
      <c r="B80" s="2">
        <v>45005</v>
      </c>
      <c r="C80" s="33">
        <v>1</v>
      </c>
      <c r="D80" s="33">
        <v>0</v>
      </c>
      <c r="E80" s="33">
        <v>1</v>
      </c>
      <c r="F80" s="31">
        <v>0.41666666666666669</v>
      </c>
      <c r="G80" s="31">
        <v>0.91666666666666663</v>
      </c>
    </row>
    <row r="81" spans="2:7">
      <c r="B81" s="2">
        <v>45006</v>
      </c>
      <c r="C81" s="33">
        <v>1</v>
      </c>
      <c r="D81" s="33">
        <v>0</v>
      </c>
      <c r="E81" s="33">
        <v>0</v>
      </c>
      <c r="F81" s="31">
        <v>0.41666666666666669</v>
      </c>
      <c r="G81" s="31">
        <v>0.91666666666666663</v>
      </c>
    </row>
    <row r="82" spans="2:7">
      <c r="B82" s="2">
        <v>45007</v>
      </c>
      <c r="C82" s="33">
        <v>1</v>
      </c>
      <c r="D82" s="33">
        <v>0</v>
      </c>
      <c r="E82" s="33">
        <v>0</v>
      </c>
      <c r="F82" s="31">
        <v>0.41666666666666669</v>
      </c>
      <c r="G82" s="31">
        <v>0.91666666666666663</v>
      </c>
    </row>
    <row r="83" spans="2:7">
      <c r="B83" s="2">
        <v>45008</v>
      </c>
      <c r="C83" s="33">
        <v>1</v>
      </c>
      <c r="D83" s="33">
        <v>0</v>
      </c>
      <c r="E83" s="33">
        <v>0</v>
      </c>
      <c r="F83" s="31">
        <v>0.41666666666666669</v>
      </c>
      <c r="G83" s="31">
        <v>0.91666666666666663</v>
      </c>
    </row>
    <row r="84" spans="2:7">
      <c r="B84" s="2">
        <v>45009</v>
      </c>
      <c r="C84" s="33">
        <v>1</v>
      </c>
      <c r="D84" s="33">
        <v>0</v>
      </c>
      <c r="E84" s="33">
        <v>0</v>
      </c>
      <c r="F84" s="31">
        <v>0.41666666666666669</v>
      </c>
      <c r="G84" s="31">
        <v>0.91666666666666663</v>
      </c>
    </row>
    <row r="85" spans="2:7">
      <c r="B85" s="2">
        <v>45010</v>
      </c>
      <c r="C85" s="33">
        <v>1</v>
      </c>
      <c r="D85" s="33">
        <v>0</v>
      </c>
      <c r="E85" s="33">
        <v>0</v>
      </c>
      <c r="F85" s="31">
        <v>0.41666666666666669</v>
      </c>
      <c r="G85" s="31">
        <v>0.91666666666666663</v>
      </c>
    </row>
    <row r="86" spans="2:7">
      <c r="B86" s="2">
        <v>45011</v>
      </c>
      <c r="C86" s="33">
        <v>0</v>
      </c>
      <c r="D86" s="33">
        <v>1</v>
      </c>
      <c r="E86" s="33">
        <v>0</v>
      </c>
    </row>
    <row r="87" spans="2:7">
      <c r="B87" s="2">
        <v>45012</v>
      </c>
      <c r="C87" s="33">
        <v>1</v>
      </c>
      <c r="D87" s="33">
        <v>0</v>
      </c>
      <c r="E87" s="33">
        <v>1</v>
      </c>
      <c r="F87" s="31">
        <v>0.41666666666666669</v>
      </c>
      <c r="G87" s="31">
        <v>0.91666666666666663</v>
      </c>
    </row>
    <row r="88" spans="2:7">
      <c r="B88" s="2">
        <v>45013</v>
      </c>
      <c r="C88" s="33">
        <v>1</v>
      </c>
      <c r="D88" s="33">
        <v>0</v>
      </c>
      <c r="E88" s="33">
        <v>0</v>
      </c>
      <c r="F88" s="31">
        <v>0.41666666666666669</v>
      </c>
      <c r="G88" s="31">
        <v>0.91666666666666663</v>
      </c>
    </row>
    <row r="89" spans="2:7">
      <c r="B89" s="2">
        <v>45014</v>
      </c>
      <c r="C89" s="33">
        <v>1</v>
      </c>
      <c r="D89" s="33">
        <v>0</v>
      </c>
      <c r="E89" s="33">
        <v>0</v>
      </c>
      <c r="F89" s="31">
        <v>0.41666666666666669</v>
      </c>
      <c r="G89" s="31">
        <v>0.91666666666666663</v>
      </c>
    </row>
    <row r="90" spans="2:7">
      <c r="B90" s="2">
        <v>45015</v>
      </c>
      <c r="C90" s="33">
        <v>1</v>
      </c>
      <c r="D90" s="33">
        <v>0</v>
      </c>
      <c r="E90" s="33">
        <v>0</v>
      </c>
      <c r="F90" s="31">
        <v>0.41666666666666669</v>
      </c>
      <c r="G90" s="31">
        <v>0.91666666666666663</v>
      </c>
    </row>
    <row r="91" spans="2:7">
      <c r="B91" s="2">
        <v>45016</v>
      </c>
      <c r="C91" s="33">
        <v>1</v>
      </c>
      <c r="D91" s="33">
        <v>0</v>
      </c>
      <c r="E91" s="33">
        <v>0</v>
      </c>
      <c r="F91" s="31">
        <v>0.41666666666666669</v>
      </c>
      <c r="G91" s="31">
        <v>0.91666666666666663</v>
      </c>
    </row>
    <row r="92" spans="2:7">
      <c r="B92" s="2">
        <v>45017</v>
      </c>
      <c r="C92" s="33">
        <v>1</v>
      </c>
      <c r="D92" s="33">
        <v>0</v>
      </c>
      <c r="E92" s="33">
        <v>0</v>
      </c>
      <c r="F92" s="31">
        <v>0.41666666666666669</v>
      </c>
      <c r="G92" s="31">
        <v>0.91666666666666663</v>
      </c>
    </row>
    <row r="93" spans="2:7">
      <c r="B93" s="2">
        <v>45018</v>
      </c>
      <c r="C93" s="33">
        <v>1</v>
      </c>
      <c r="D93" s="33">
        <v>0</v>
      </c>
      <c r="E93" s="33">
        <v>0</v>
      </c>
      <c r="F93" s="31">
        <v>0.45833333333333331</v>
      </c>
      <c r="G93" s="31">
        <v>0.875</v>
      </c>
    </row>
    <row r="94" spans="2:7">
      <c r="B94" s="2">
        <v>45019</v>
      </c>
      <c r="C94" s="33">
        <v>1</v>
      </c>
      <c r="D94" s="33">
        <v>0</v>
      </c>
      <c r="E94" s="33">
        <v>0</v>
      </c>
      <c r="F94" s="31">
        <v>0.41666666666666669</v>
      </c>
      <c r="G94" s="31">
        <v>0.91666666666666663</v>
      </c>
    </row>
    <row r="95" spans="2:7">
      <c r="B95" s="2">
        <v>45020</v>
      </c>
      <c r="C95" s="33">
        <v>1</v>
      </c>
      <c r="D95" s="33">
        <v>0</v>
      </c>
      <c r="E95" s="33">
        <v>0</v>
      </c>
      <c r="F95" s="31">
        <v>0.41666666666666669</v>
      </c>
      <c r="G95" s="31">
        <v>0.91666666666666663</v>
      </c>
    </row>
    <row r="96" spans="2:7">
      <c r="B96" s="2">
        <v>45021</v>
      </c>
      <c r="C96" s="33">
        <v>1</v>
      </c>
      <c r="D96" s="33">
        <v>0</v>
      </c>
      <c r="E96" s="33">
        <v>0</v>
      </c>
      <c r="F96" s="31">
        <v>0.41666666666666669</v>
      </c>
      <c r="G96" s="31">
        <v>0.91666666666666663</v>
      </c>
    </row>
    <row r="97" spans="2:7">
      <c r="B97" s="2">
        <v>45022</v>
      </c>
      <c r="C97" s="33">
        <v>1</v>
      </c>
      <c r="D97" s="33">
        <v>0</v>
      </c>
      <c r="E97" s="33">
        <v>0</v>
      </c>
      <c r="F97" s="31">
        <v>0.41666666666666669</v>
      </c>
      <c r="G97" s="31">
        <v>0.91666666666666663</v>
      </c>
    </row>
    <row r="98" spans="2:7">
      <c r="B98" s="2">
        <v>45023</v>
      </c>
      <c r="C98" s="33">
        <v>1</v>
      </c>
      <c r="D98" s="33">
        <v>0</v>
      </c>
      <c r="E98" s="33">
        <v>0</v>
      </c>
      <c r="F98" s="31">
        <v>0.45833333333333331</v>
      </c>
      <c r="G98" s="31">
        <v>0.875</v>
      </c>
    </row>
    <row r="99" spans="2:7">
      <c r="B99" s="2">
        <v>45024</v>
      </c>
      <c r="C99" s="33">
        <v>1</v>
      </c>
      <c r="D99" s="33">
        <v>0</v>
      </c>
      <c r="E99" s="33">
        <v>0</v>
      </c>
      <c r="F99" s="31">
        <v>0.41666666666666669</v>
      </c>
      <c r="G99" s="31">
        <v>0.91666666666666663</v>
      </c>
    </row>
    <row r="100" spans="2:7">
      <c r="B100" s="2">
        <v>45025</v>
      </c>
      <c r="C100" s="33">
        <v>1</v>
      </c>
      <c r="D100" s="33">
        <v>0</v>
      </c>
      <c r="E100" s="33">
        <v>0</v>
      </c>
      <c r="F100" s="31">
        <v>0.45833333333333331</v>
      </c>
      <c r="G100" s="31">
        <v>0.875</v>
      </c>
    </row>
    <row r="101" spans="2:7">
      <c r="B101" s="2">
        <v>45026</v>
      </c>
      <c r="C101" s="33">
        <v>0</v>
      </c>
      <c r="D101" s="33">
        <v>1</v>
      </c>
      <c r="E101" s="33">
        <v>0</v>
      </c>
    </row>
    <row r="102" spans="2:7">
      <c r="B102" s="2">
        <v>45027</v>
      </c>
      <c r="C102" s="33">
        <v>1</v>
      </c>
      <c r="D102" s="33">
        <v>0</v>
      </c>
      <c r="E102" s="33">
        <v>1</v>
      </c>
      <c r="F102" s="31">
        <v>0.41666666666666669</v>
      </c>
      <c r="G102" s="31">
        <v>0.91666666666666663</v>
      </c>
    </row>
    <row r="103" spans="2:7">
      <c r="B103" s="2">
        <v>45028</v>
      </c>
      <c r="C103" s="33">
        <v>1</v>
      </c>
      <c r="D103" s="33">
        <v>0</v>
      </c>
      <c r="E103" s="33">
        <v>0</v>
      </c>
      <c r="F103" s="31">
        <v>0.41666666666666669</v>
      </c>
      <c r="G103" s="31">
        <v>0.91666666666666663</v>
      </c>
    </row>
    <row r="104" spans="2:7">
      <c r="B104" s="2">
        <v>45029</v>
      </c>
      <c r="C104" s="33">
        <v>1</v>
      </c>
      <c r="D104" s="33">
        <v>0</v>
      </c>
      <c r="E104" s="33">
        <v>0</v>
      </c>
      <c r="F104" s="31">
        <v>0.41666666666666669</v>
      </c>
      <c r="G104" s="31">
        <v>0.91666666666666663</v>
      </c>
    </row>
    <row r="105" spans="2:7">
      <c r="B105" s="2">
        <v>45030</v>
      </c>
      <c r="C105" s="33">
        <v>1</v>
      </c>
      <c r="D105" s="33">
        <v>0</v>
      </c>
      <c r="E105" s="33">
        <v>0</v>
      </c>
      <c r="F105" s="31">
        <v>0.41666666666666669</v>
      </c>
      <c r="G105" s="31">
        <v>0.91666666666666663</v>
      </c>
    </row>
    <row r="106" spans="2:7">
      <c r="B106" s="2">
        <v>45031</v>
      </c>
      <c r="C106" s="33">
        <v>1</v>
      </c>
      <c r="D106" s="33">
        <v>0</v>
      </c>
      <c r="E106" s="33">
        <v>0</v>
      </c>
      <c r="F106" s="31">
        <v>0.41666666666666669</v>
      </c>
      <c r="G106" s="31">
        <v>0.91666666666666663</v>
      </c>
    </row>
    <row r="107" spans="2:7">
      <c r="B107" s="2">
        <v>45032</v>
      </c>
      <c r="C107" s="33">
        <v>1</v>
      </c>
      <c r="D107" s="33">
        <v>0</v>
      </c>
      <c r="E107" s="33">
        <v>0</v>
      </c>
      <c r="F107" s="31">
        <v>0.45833333333333331</v>
      </c>
      <c r="G107" s="31">
        <v>0.875</v>
      </c>
    </row>
    <row r="108" spans="2:7">
      <c r="B108" s="2">
        <v>45033</v>
      </c>
      <c r="C108" s="33">
        <v>0</v>
      </c>
      <c r="D108" s="33">
        <v>1</v>
      </c>
      <c r="E108" s="33">
        <v>0</v>
      </c>
      <c r="F108" s="31">
        <v>0.41666666666666669</v>
      </c>
      <c r="G108" s="31">
        <v>0.91666666666666663</v>
      </c>
    </row>
    <row r="109" spans="2:7">
      <c r="B109" s="2">
        <v>45034</v>
      </c>
      <c r="C109" s="33">
        <v>1</v>
      </c>
      <c r="D109" s="33">
        <v>0</v>
      </c>
      <c r="E109" s="33">
        <v>1</v>
      </c>
      <c r="F109" s="31">
        <v>0.41666666666666669</v>
      </c>
      <c r="G109" s="31">
        <v>0.91666666666666663</v>
      </c>
    </row>
    <row r="110" spans="2:7">
      <c r="B110" s="2">
        <v>45035</v>
      </c>
      <c r="C110" s="33">
        <v>1</v>
      </c>
      <c r="D110" s="33">
        <v>0</v>
      </c>
      <c r="E110" s="33">
        <v>0</v>
      </c>
      <c r="F110" s="31">
        <v>0.41666666666666669</v>
      </c>
      <c r="G110" s="31">
        <v>0.91666666666666663</v>
      </c>
    </row>
    <row r="111" spans="2:7">
      <c r="B111" s="2">
        <v>45036</v>
      </c>
      <c r="C111" s="33">
        <v>1</v>
      </c>
      <c r="D111" s="33">
        <v>0</v>
      </c>
      <c r="E111" s="33">
        <v>0</v>
      </c>
      <c r="F111" s="31">
        <v>0.41666666666666669</v>
      </c>
      <c r="G111" s="31">
        <v>0.91666666666666663</v>
      </c>
    </row>
    <row r="112" spans="2:7">
      <c r="B112" s="2">
        <v>45037</v>
      </c>
      <c r="C112" s="33">
        <v>1</v>
      </c>
      <c r="D112" s="33">
        <v>0</v>
      </c>
      <c r="E112" s="33">
        <v>0</v>
      </c>
      <c r="F112" s="31">
        <v>0.41666666666666669</v>
      </c>
      <c r="G112" s="31">
        <v>0.91666666666666663</v>
      </c>
    </row>
    <row r="113" spans="2:7">
      <c r="B113" s="2">
        <v>45038</v>
      </c>
      <c r="C113" s="33">
        <v>1</v>
      </c>
      <c r="D113" s="33">
        <v>0</v>
      </c>
      <c r="E113" s="33">
        <v>0</v>
      </c>
      <c r="F113" s="31">
        <v>0.41666666666666669</v>
      </c>
      <c r="G113" s="31">
        <v>0.91666666666666663</v>
      </c>
    </row>
    <row r="114" spans="2:7">
      <c r="B114" s="2">
        <v>45039</v>
      </c>
      <c r="C114" s="33">
        <v>0</v>
      </c>
      <c r="D114" s="33">
        <v>1</v>
      </c>
      <c r="E114" s="33">
        <v>0</v>
      </c>
    </row>
    <row r="115" spans="2:7">
      <c r="B115" s="2">
        <v>45040</v>
      </c>
      <c r="C115" s="33">
        <v>0</v>
      </c>
      <c r="D115" s="33">
        <v>1</v>
      </c>
      <c r="E115" s="33">
        <v>0</v>
      </c>
    </row>
    <row r="116" spans="2:7">
      <c r="B116" s="2">
        <v>45041</v>
      </c>
      <c r="C116" s="33">
        <v>1</v>
      </c>
      <c r="D116" s="33">
        <v>0</v>
      </c>
      <c r="E116" s="33">
        <v>1</v>
      </c>
      <c r="F116" s="31">
        <v>0.41666666666666669</v>
      </c>
      <c r="G116" s="31">
        <v>0.91666666666666663</v>
      </c>
    </row>
    <row r="117" spans="2:7">
      <c r="B117" s="2">
        <v>45042</v>
      </c>
      <c r="C117" s="33">
        <v>1</v>
      </c>
      <c r="D117" s="33">
        <v>0</v>
      </c>
      <c r="E117" s="33">
        <v>0</v>
      </c>
      <c r="F117" s="31">
        <v>0.41666666666666669</v>
      </c>
      <c r="G117" s="31">
        <v>0.91666666666666663</v>
      </c>
    </row>
    <row r="118" spans="2:7">
      <c r="B118" s="2">
        <v>45043</v>
      </c>
      <c r="C118" s="33">
        <v>1</v>
      </c>
      <c r="D118" s="33">
        <v>0</v>
      </c>
      <c r="E118" s="33">
        <v>0</v>
      </c>
      <c r="F118" s="31">
        <v>0.41666666666666669</v>
      </c>
      <c r="G118" s="31">
        <v>0.91666666666666663</v>
      </c>
    </row>
    <row r="119" spans="2:7">
      <c r="B119" s="2">
        <v>45044</v>
      </c>
      <c r="C119" s="33">
        <v>1</v>
      </c>
      <c r="D119" s="33">
        <v>0</v>
      </c>
      <c r="E119" s="33">
        <v>0</v>
      </c>
      <c r="F119" s="31">
        <v>0.41666666666666669</v>
      </c>
      <c r="G119" s="31">
        <v>0.91666666666666663</v>
      </c>
    </row>
    <row r="120" spans="2:7">
      <c r="B120" s="2">
        <v>45045</v>
      </c>
      <c r="C120" s="33">
        <v>1</v>
      </c>
      <c r="D120" s="33">
        <v>0</v>
      </c>
      <c r="E120" s="33">
        <v>0</v>
      </c>
      <c r="F120" s="31">
        <v>0.41666666666666669</v>
      </c>
      <c r="G120" s="31">
        <v>0.91666666666666663</v>
      </c>
    </row>
    <row r="121" spans="2:7">
      <c r="B121" s="2">
        <v>45046</v>
      </c>
      <c r="C121" s="33">
        <v>1</v>
      </c>
      <c r="D121" s="33">
        <v>0</v>
      </c>
      <c r="E121" s="33">
        <v>0</v>
      </c>
      <c r="F121" s="31">
        <v>0.45833333333333331</v>
      </c>
      <c r="G121" s="31">
        <v>0.875</v>
      </c>
    </row>
    <row r="122" spans="2:7">
      <c r="B122" s="2">
        <v>45047</v>
      </c>
      <c r="C122" s="33">
        <v>0</v>
      </c>
      <c r="D122" s="33">
        <v>1</v>
      </c>
      <c r="E122" s="33">
        <v>0</v>
      </c>
    </row>
    <row r="123" spans="2:7">
      <c r="B123" s="2">
        <v>45048</v>
      </c>
      <c r="C123" s="33">
        <v>1</v>
      </c>
      <c r="D123" s="33">
        <v>0</v>
      </c>
      <c r="E123" s="33">
        <v>1</v>
      </c>
      <c r="F123" s="31">
        <v>0.41666666666666669</v>
      </c>
      <c r="G123" s="31">
        <v>0.91666666666666663</v>
      </c>
    </row>
    <row r="124" spans="2:7">
      <c r="B124" s="2">
        <v>45049</v>
      </c>
      <c r="C124" s="33">
        <v>1</v>
      </c>
      <c r="D124" s="33">
        <v>0</v>
      </c>
      <c r="E124" s="33">
        <v>0</v>
      </c>
      <c r="F124" s="31">
        <v>0.41666666666666669</v>
      </c>
      <c r="G124" s="31">
        <v>0.91666666666666663</v>
      </c>
    </row>
    <row r="125" spans="2:7">
      <c r="B125" s="2">
        <v>45050</v>
      </c>
      <c r="C125" s="33">
        <v>1</v>
      </c>
      <c r="D125" s="33">
        <v>0</v>
      </c>
      <c r="E125" s="33">
        <v>0</v>
      </c>
      <c r="F125" s="31">
        <v>0.41666666666666669</v>
      </c>
      <c r="G125" s="31">
        <v>0.91666666666666663</v>
      </c>
    </row>
    <row r="126" spans="2:7">
      <c r="B126" s="2">
        <v>45051</v>
      </c>
      <c r="C126" s="33">
        <v>1</v>
      </c>
      <c r="D126" s="33">
        <v>0</v>
      </c>
      <c r="E126" s="33">
        <v>0</v>
      </c>
      <c r="F126" s="31">
        <v>0.41666666666666669</v>
      </c>
      <c r="G126" s="31">
        <v>0.91666666666666663</v>
      </c>
    </row>
    <row r="127" spans="2:7">
      <c r="B127" s="2">
        <v>45052</v>
      </c>
      <c r="C127" s="33">
        <v>1</v>
      </c>
      <c r="D127" s="33">
        <v>0</v>
      </c>
      <c r="E127" s="33">
        <v>0</v>
      </c>
      <c r="F127" s="31">
        <v>0.41666666666666669</v>
      </c>
      <c r="G127" s="31">
        <v>0.91666666666666663</v>
      </c>
    </row>
    <row r="128" spans="2:7">
      <c r="B128" s="2">
        <v>45053</v>
      </c>
      <c r="C128" s="33">
        <v>0</v>
      </c>
      <c r="D128" s="33">
        <v>1</v>
      </c>
      <c r="E128" s="33">
        <v>0</v>
      </c>
    </row>
    <row r="129" spans="2:7">
      <c r="B129" s="2">
        <v>45054</v>
      </c>
      <c r="C129" s="33">
        <v>1</v>
      </c>
      <c r="D129" s="33">
        <v>0</v>
      </c>
      <c r="E129" s="33">
        <v>1</v>
      </c>
      <c r="F129" s="31">
        <v>0.41666666666666669</v>
      </c>
      <c r="G129" s="31">
        <v>0.91666666666666663</v>
      </c>
    </row>
    <row r="130" spans="2:7">
      <c r="B130" s="2">
        <v>45055</v>
      </c>
      <c r="C130" s="33">
        <v>1</v>
      </c>
      <c r="D130" s="33">
        <v>0</v>
      </c>
      <c r="E130" s="33">
        <v>0</v>
      </c>
      <c r="F130" s="31">
        <v>0.41666666666666669</v>
      </c>
      <c r="G130" s="31">
        <v>0.91666666666666663</v>
      </c>
    </row>
    <row r="131" spans="2:7">
      <c r="B131" s="2">
        <v>45056</v>
      </c>
      <c r="C131" s="33">
        <v>1</v>
      </c>
      <c r="D131" s="33">
        <v>0</v>
      </c>
      <c r="E131" s="33">
        <v>0</v>
      </c>
      <c r="F131" s="31">
        <v>0.41666666666666669</v>
      </c>
      <c r="G131" s="31">
        <v>0.91666666666666663</v>
      </c>
    </row>
    <row r="132" spans="2:7">
      <c r="B132" s="2">
        <v>45057</v>
      </c>
      <c r="C132" s="33">
        <v>1</v>
      </c>
      <c r="D132" s="33">
        <v>0</v>
      </c>
      <c r="E132" s="33">
        <v>0</v>
      </c>
      <c r="F132" s="31">
        <v>0.41666666666666669</v>
      </c>
      <c r="G132" s="31">
        <v>0.91666666666666663</v>
      </c>
    </row>
    <row r="133" spans="2:7">
      <c r="B133" s="2">
        <v>45058</v>
      </c>
      <c r="C133" s="33">
        <v>1</v>
      </c>
      <c r="D133" s="33">
        <v>0</v>
      </c>
      <c r="E133" s="33">
        <v>0</v>
      </c>
      <c r="F133" s="31">
        <v>0.41666666666666669</v>
      </c>
      <c r="G133" s="31">
        <v>0.91666666666666663</v>
      </c>
    </row>
    <row r="134" spans="2:7">
      <c r="B134" s="2">
        <v>45059</v>
      </c>
      <c r="C134" s="33">
        <v>1</v>
      </c>
      <c r="D134" s="33">
        <v>0</v>
      </c>
      <c r="E134" s="33">
        <v>0</v>
      </c>
      <c r="F134" s="31">
        <v>0.41666666666666669</v>
      </c>
      <c r="G134" s="31">
        <v>0.91666666666666663</v>
      </c>
    </row>
    <row r="135" spans="2:7">
      <c r="B135" s="2">
        <v>45060</v>
      </c>
      <c r="C135" s="33">
        <v>0</v>
      </c>
      <c r="D135" s="33">
        <v>1</v>
      </c>
      <c r="E135" s="33">
        <v>0</v>
      </c>
    </row>
    <row r="136" spans="2:7">
      <c r="B136" s="2">
        <v>45061</v>
      </c>
      <c r="C136" s="33">
        <v>1</v>
      </c>
      <c r="D136" s="33">
        <v>0</v>
      </c>
      <c r="E136" s="33">
        <v>1</v>
      </c>
      <c r="F136" s="31">
        <v>0.41666666666666669</v>
      </c>
      <c r="G136" s="31">
        <v>0.91666666666666663</v>
      </c>
    </row>
    <row r="137" spans="2:7">
      <c r="B137" s="2">
        <v>45062</v>
      </c>
      <c r="C137" s="33">
        <v>1</v>
      </c>
      <c r="D137" s="33">
        <v>0</v>
      </c>
      <c r="E137" s="33">
        <v>0</v>
      </c>
      <c r="F137" s="31">
        <v>0.41666666666666669</v>
      </c>
      <c r="G137" s="31">
        <v>0.91666666666666663</v>
      </c>
    </row>
    <row r="138" spans="2:7">
      <c r="B138" s="2">
        <v>45063</v>
      </c>
      <c r="C138" s="33">
        <v>1</v>
      </c>
      <c r="D138" s="33">
        <v>0</v>
      </c>
      <c r="E138" s="33">
        <v>0</v>
      </c>
      <c r="F138" s="31">
        <v>0.41666666666666669</v>
      </c>
      <c r="G138" s="31">
        <v>0.91666666666666663</v>
      </c>
    </row>
    <row r="139" spans="2:7">
      <c r="B139" s="2">
        <v>45064</v>
      </c>
      <c r="C139" s="33">
        <v>1</v>
      </c>
      <c r="D139" s="33">
        <v>0</v>
      </c>
      <c r="E139" s="33">
        <v>0</v>
      </c>
      <c r="F139" s="31">
        <v>0.41666666666666669</v>
      </c>
      <c r="G139" s="31">
        <v>0.91666666666666663</v>
      </c>
    </row>
    <row r="140" spans="2:7">
      <c r="B140" s="2">
        <v>45065</v>
      </c>
      <c r="C140" s="33">
        <v>1</v>
      </c>
      <c r="D140" s="33">
        <v>0</v>
      </c>
      <c r="E140" s="33">
        <v>0</v>
      </c>
      <c r="F140" s="31">
        <v>0.41666666666666669</v>
      </c>
      <c r="G140" s="31">
        <v>0.91666666666666663</v>
      </c>
    </row>
    <row r="141" spans="2:7">
      <c r="B141" s="2">
        <v>45066</v>
      </c>
      <c r="C141" s="33">
        <v>1</v>
      </c>
      <c r="D141" s="33">
        <v>0</v>
      </c>
      <c r="E141" s="33">
        <v>0</v>
      </c>
      <c r="F141" s="31">
        <v>0.41666666666666669</v>
      </c>
      <c r="G141" s="31">
        <v>0.91666666666666663</v>
      </c>
    </row>
    <row r="142" spans="2:7">
      <c r="B142" s="2">
        <v>45067</v>
      </c>
      <c r="C142" s="33">
        <v>0</v>
      </c>
      <c r="D142" s="33">
        <v>1</v>
      </c>
      <c r="E142" s="33">
        <v>0</v>
      </c>
    </row>
    <row r="143" spans="2:7">
      <c r="B143" s="2">
        <v>45068</v>
      </c>
      <c r="C143" s="33">
        <v>1</v>
      </c>
      <c r="D143" s="33">
        <v>0</v>
      </c>
      <c r="E143" s="33">
        <v>1</v>
      </c>
      <c r="F143" s="31">
        <v>0.41666666666666669</v>
      </c>
      <c r="G143" s="31">
        <v>0.91666666666666663</v>
      </c>
    </row>
    <row r="144" spans="2:7">
      <c r="B144" s="2">
        <v>45069</v>
      </c>
      <c r="C144" s="33">
        <v>1</v>
      </c>
      <c r="D144" s="33">
        <v>0</v>
      </c>
      <c r="E144" s="33">
        <v>0</v>
      </c>
      <c r="F144" s="31">
        <v>0.41666666666666669</v>
      </c>
      <c r="G144" s="31">
        <v>0.91666666666666663</v>
      </c>
    </row>
    <row r="145" spans="2:7">
      <c r="B145" s="2">
        <v>45070</v>
      </c>
      <c r="C145" s="33">
        <v>1</v>
      </c>
      <c r="D145" s="33">
        <v>0</v>
      </c>
      <c r="E145" s="33">
        <v>0</v>
      </c>
      <c r="F145" s="31">
        <v>0.41666666666666669</v>
      </c>
      <c r="G145" s="31">
        <v>0.91666666666666663</v>
      </c>
    </row>
    <row r="146" spans="2:7">
      <c r="B146" s="2">
        <v>45071</v>
      </c>
      <c r="C146" s="33">
        <v>1</v>
      </c>
      <c r="D146" s="33">
        <v>0</v>
      </c>
      <c r="E146" s="33">
        <v>0</v>
      </c>
      <c r="F146" s="31">
        <v>0.41666666666666669</v>
      </c>
      <c r="G146" s="31">
        <v>0.91666666666666663</v>
      </c>
    </row>
    <row r="147" spans="2:7">
      <c r="B147" s="2">
        <v>45072</v>
      </c>
      <c r="C147" s="33">
        <v>1</v>
      </c>
      <c r="D147" s="33">
        <v>0</v>
      </c>
      <c r="E147" s="33">
        <v>0</v>
      </c>
      <c r="F147" s="31">
        <v>0.41666666666666669</v>
      </c>
      <c r="G147" s="31">
        <v>0.91666666666666663</v>
      </c>
    </row>
    <row r="148" spans="2:7">
      <c r="B148" s="2">
        <v>45073</v>
      </c>
      <c r="C148" s="33">
        <v>1</v>
      </c>
      <c r="D148" s="33">
        <v>0</v>
      </c>
      <c r="E148" s="33">
        <v>0</v>
      </c>
      <c r="F148" s="31">
        <v>0.41666666666666669</v>
      </c>
      <c r="G148" s="31">
        <v>0.91666666666666663</v>
      </c>
    </row>
    <row r="149" spans="2:7">
      <c r="B149" s="2">
        <v>45074</v>
      </c>
      <c r="C149" s="33">
        <v>0</v>
      </c>
      <c r="D149" s="33">
        <v>1</v>
      </c>
      <c r="E149" s="33">
        <v>0</v>
      </c>
    </row>
    <row r="150" spans="2:7">
      <c r="B150" s="2">
        <v>45075</v>
      </c>
      <c r="C150" s="33">
        <v>1</v>
      </c>
      <c r="D150" s="33">
        <v>0</v>
      </c>
      <c r="E150" s="33">
        <v>1</v>
      </c>
      <c r="F150" s="31">
        <v>0.41666666666666669</v>
      </c>
      <c r="G150" s="31">
        <v>0.91666666666666663</v>
      </c>
    </row>
    <row r="151" spans="2:7">
      <c r="B151" s="2">
        <v>45076</v>
      </c>
      <c r="C151" s="33">
        <v>1</v>
      </c>
      <c r="D151" s="33">
        <v>0</v>
      </c>
      <c r="E151" s="33">
        <v>0</v>
      </c>
      <c r="F151" s="31">
        <v>0.41666666666666669</v>
      </c>
      <c r="G151" s="31">
        <v>0.91666666666666663</v>
      </c>
    </row>
    <row r="152" spans="2:7">
      <c r="B152" s="2">
        <v>45077</v>
      </c>
      <c r="C152" s="33">
        <v>1</v>
      </c>
      <c r="D152" s="33">
        <v>0</v>
      </c>
      <c r="E152" s="33">
        <v>0</v>
      </c>
      <c r="F152" s="31">
        <v>0.41666666666666669</v>
      </c>
      <c r="G152" s="31">
        <v>0.91666666666666663</v>
      </c>
    </row>
    <row r="153" spans="2:7">
      <c r="B153" s="2">
        <v>45078</v>
      </c>
      <c r="C153" s="33">
        <v>1</v>
      </c>
      <c r="D153" s="33">
        <v>0</v>
      </c>
      <c r="E153" s="33">
        <v>0</v>
      </c>
      <c r="F153" s="31">
        <v>0.41666666666666669</v>
      </c>
      <c r="G153" s="31">
        <v>0.91666666666666663</v>
      </c>
    </row>
    <row r="154" spans="2:7">
      <c r="B154" s="2">
        <v>45079</v>
      </c>
      <c r="C154" s="33">
        <v>1</v>
      </c>
      <c r="D154" s="33">
        <v>0</v>
      </c>
      <c r="E154" s="33">
        <v>0</v>
      </c>
      <c r="F154" s="31">
        <v>0.41666666666666669</v>
      </c>
      <c r="G154" s="31">
        <v>0.91666666666666663</v>
      </c>
    </row>
    <row r="155" spans="2:7">
      <c r="B155" s="2">
        <v>45080</v>
      </c>
      <c r="C155" s="33">
        <v>1</v>
      </c>
      <c r="D155" s="33">
        <v>0</v>
      </c>
      <c r="E155" s="33">
        <v>0</v>
      </c>
      <c r="F155" s="31">
        <v>0.41666666666666669</v>
      </c>
      <c r="G155" s="31">
        <v>0.91666666666666663</v>
      </c>
    </row>
    <row r="156" spans="2:7">
      <c r="B156" s="2">
        <v>45081</v>
      </c>
      <c r="C156" s="33">
        <v>0</v>
      </c>
      <c r="D156" s="33">
        <v>1</v>
      </c>
      <c r="E156" s="33">
        <v>0</v>
      </c>
    </row>
    <row r="157" spans="2:7">
      <c r="B157" s="2">
        <v>45082</v>
      </c>
      <c r="C157" s="33">
        <v>1</v>
      </c>
      <c r="D157" s="33">
        <v>0</v>
      </c>
      <c r="E157" s="33">
        <v>1</v>
      </c>
      <c r="F157" s="31">
        <v>0.41666666666666669</v>
      </c>
      <c r="G157" s="31">
        <v>0.91666666666666663</v>
      </c>
    </row>
    <row r="158" spans="2:7">
      <c r="B158" s="2">
        <v>45083</v>
      </c>
      <c r="C158" s="33">
        <v>1</v>
      </c>
      <c r="D158" s="33">
        <v>0</v>
      </c>
      <c r="E158" s="33">
        <v>0</v>
      </c>
      <c r="F158" s="31">
        <v>0.41666666666666669</v>
      </c>
      <c r="G158" s="31">
        <v>0.91666666666666663</v>
      </c>
    </row>
    <row r="159" spans="2:7">
      <c r="B159" s="2">
        <v>45084</v>
      </c>
      <c r="C159" s="33">
        <v>1</v>
      </c>
      <c r="D159" s="33">
        <v>0</v>
      </c>
      <c r="E159" s="33">
        <v>0</v>
      </c>
      <c r="F159" s="31">
        <v>0.41666666666666669</v>
      </c>
      <c r="G159" s="31">
        <v>0.91666666666666663</v>
      </c>
    </row>
    <row r="160" spans="2:7">
      <c r="B160" s="2">
        <v>45085</v>
      </c>
      <c r="C160" s="33">
        <v>1</v>
      </c>
      <c r="D160" s="33">
        <v>0</v>
      </c>
      <c r="E160" s="33">
        <v>0</v>
      </c>
      <c r="F160" s="31">
        <v>0.41666666666666669</v>
      </c>
      <c r="G160" s="31">
        <v>0.91666666666666663</v>
      </c>
    </row>
    <row r="161" spans="2:7">
      <c r="B161" s="2">
        <v>45086</v>
      </c>
      <c r="C161" s="33">
        <v>1</v>
      </c>
      <c r="D161" s="33">
        <v>0</v>
      </c>
      <c r="E161" s="33">
        <v>0</v>
      </c>
      <c r="F161" s="31">
        <v>0.41666666666666669</v>
      </c>
      <c r="G161" s="31">
        <v>0.91666666666666663</v>
      </c>
    </row>
    <row r="162" spans="2:7">
      <c r="B162" s="2">
        <v>45087</v>
      </c>
      <c r="C162" s="33">
        <v>1</v>
      </c>
      <c r="D162" s="33">
        <v>0</v>
      </c>
      <c r="E162" s="33">
        <v>0</v>
      </c>
      <c r="F162" s="31">
        <v>0.41666666666666669</v>
      </c>
      <c r="G162" s="31">
        <v>0.91666666666666663</v>
      </c>
    </row>
    <row r="163" spans="2:7">
      <c r="B163" s="2">
        <v>45088</v>
      </c>
      <c r="C163" s="33">
        <v>0</v>
      </c>
      <c r="D163" s="33">
        <v>1</v>
      </c>
      <c r="E163" s="33">
        <v>0</v>
      </c>
    </row>
    <row r="164" spans="2:7">
      <c r="B164" s="2">
        <v>45089</v>
      </c>
      <c r="C164" s="33">
        <v>1</v>
      </c>
      <c r="D164" s="33">
        <v>0</v>
      </c>
      <c r="E164" s="33">
        <v>1</v>
      </c>
      <c r="F164" s="31">
        <v>0.41666666666666669</v>
      </c>
      <c r="G164" s="31">
        <v>0.91666666666666663</v>
      </c>
    </row>
    <row r="165" spans="2:7">
      <c r="B165" s="2">
        <v>45090</v>
      </c>
      <c r="C165" s="33">
        <v>1</v>
      </c>
      <c r="D165" s="33">
        <v>0</v>
      </c>
      <c r="E165" s="33">
        <v>0</v>
      </c>
      <c r="F165" s="31">
        <v>0.41666666666666669</v>
      </c>
      <c r="G165" s="31">
        <v>0.91666666666666663</v>
      </c>
    </row>
    <row r="166" spans="2:7">
      <c r="B166" s="2">
        <v>45091</v>
      </c>
      <c r="C166" s="33">
        <v>1</v>
      </c>
      <c r="D166" s="33">
        <v>0</v>
      </c>
      <c r="E166" s="33">
        <v>0</v>
      </c>
      <c r="F166" s="31">
        <v>0.41666666666666669</v>
      </c>
      <c r="G166" s="31">
        <v>0.91666666666666663</v>
      </c>
    </row>
    <row r="167" spans="2:7">
      <c r="B167" s="2">
        <v>45092</v>
      </c>
      <c r="C167" s="33">
        <v>1</v>
      </c>
      <c r="D167" s="33">
        <v>0</v>
      </c>
      <c r="E167" s="33">
        <v>0</v>
      </c>
      <c r="F167" s="31">
        <v>0.41666666666666669</v>
      </c>
      <c r="G167" s="31">
        <v>0.91666666666666663</v>
      </c>
    </row>
    <row r="168" spans="2:7">
      <c r="B168" s="2">
        <v>45093</v>
      </c>
      <c r="C168" s="33">
        <v>1</v>
      </c>
      <c r="D168" s="33">
        <v>0</v>
      </c>
      <c r="E168" s="33">
        <v>0</v>
      </c>
      <c r="F168" s="31">
        <v>0.41666666666666669</v>
      </c>
      <c r="G168" s="31">
        <v>0.91666666666666663</v>
      </c>
    </row>
    <row r="169" spans="2:7">
      <c r="B169" s="2">
        <v>45094</v>
      </c>
      <c r="C169" s="33">
        <v>1</v>
      </c>
      <c r="D169" s="33">
        <v>0</v>
      </c>
      <c r="E169" s="33">
        <v>0</v>
      </c>
      <c r="F169" s="31">
        <v>0.41666666666666669</v>
      </c>
      <c r="G169" s="31">
        <v>0.91666666666666663</v>
      </c>
    </row>
    <row r="170" spans="2:7">
      <c r="B170" s="2">
        <v>45095</v>
      </c>
      <c r="C170" s="33">
        <v>0</v>
      </c>
      <c r="D170" s="33">
        <v>1</v>
      </c>
      <c r="E170" s="33">
        <v>0</v>
      </c>
    </row>
    <row r="171" spans="2:7">
      <c r="B171" s="2">
        <v>45096</v>
      </c>
      <c r="C171" s="33">
        <v>1</v>
      </c>
      <c r="D171" s="33">
        <v>0</v>
      </c>
      <c r="E171" s="33">
        <v>1</v>
      </c>
      <c r="F171" s="31">
        <v>0.41666666666666669</v>
      </c>
      <c r="G171" s="31">
        <v>0.91666666666666663</v>
      </c>
    </row>
    <row r="172" spans="2:7">
      <c r="B172" s="2">
        <v>45097</v>
      </c>
      <c r="C172" s="33">
        <v>1</v>
      </c>
      <c r="D172" s="33">
        <v>0</v>
      </c>
      <c r="E172" s="33">
        <v>0</v>
      </c>
      <c r="F172" s="31">
        <v>0.41666666666666669</v>
      </c>
      <c r="G172" s="31">
        <v>0.91666666666666663</v>
      </c>
    </row>
    <row r="173" spans="2:7">
      <c r="B173" s="2">
        <v>45098</v>
      </c>
      <c r="C173" s="33">
        <v>1</v>
      </c>
      <c r="D173" s="33">
        <v>0</v>
      </c>
      <c r="E173" s="33">
        <v>0</v>
      </c>
      <c r="F173" s="31">
        <v>0.41666666666666669</v>
      </c>
      <c r="G173" s="31">
        <v>0.91666666666666663</v>
      </c>
    </row>
    <row r="174" spans="2:7">
      <c r="B174" s="2">
        <v>45099</v>
      </c>
      <c r="C174" s="33">
        <v>1</v>
      </c>
      <c r="D174" s="33">
        <v>0</v>
      </c>
      <c r="E174" s="33">
        <v>0</v>
      </c>
      <c r="F174" s="31">
        <v>0.41666666666666669</v>
      </c>
      <c r="G174" s="31">
        <v>0.91666666666666663</v>
      </c>
    </row>
    <row r="175" spans="2:7">
      <c r="B175" s="2">
        <v>45100</v>
      </c>
      <c r="C175" s="33">
        <v>1</v>
      </c>
      <c r="D175" s="33">
        <v>0</v>
      </c>
      <c r="E175" s="33">
        <v>0</v>
      </c>
      <c r="F175" s="31">
        <v>0.41666666666666669</v>
      </c>
      <c r="G175" s="31">
        <v>0.91666666666666663</v>
      </c>
    </row>
    <row r="176" spans="2:7">
      <c r="B176" s="2">
        <v>45101</v>
      </c>
      <c r="C176" s="33">
        <v>1</v>
      </c>
      <c r="D176" s="33">
        <v>0</v>
      </c>
      <c r="E176" s="33">
        <v>0</v>
      </c>
      <c r="F176" s="31">
        <v>0.45833333333333331</v>
      </c>
      <c r="G176" s="31">
        <v>0.875</v>
      </c>
    </row>
    <row r="177" spans="2:7">
      <c r="B177" s="2">
        <v>45102</v>
      </c>
      <c r="C177" s="33">
        <v>1</v>
      </c>
      <c r="D177" s="33">
        <v>0</v>
      </c>
      <c r="E177" s="33">
        <v>0</v>
      </c>
      <c r="F177" s="31">
        <v>0.45833333333333331</v>
      </c>
      <c r="G177" s="31">
        <v>0.875</v>
      </c>
    </row>
    <row r="178" spans="2:7">
      <c r="B178" s="2">
        <v>45103</v>
      </c>
      <c r="C178" s="33">
        <v>1</v>
      </c>
      <c r="D178" s="33">
        <v>0</v>
      </c>
      <c r="E178" s="33">
        <v>0</v>
      </c>
      <c r="F178" s="31">
        <v>0.41666666666666669</v>
      </c>
      <c r="G178" s="31">
        <v>0.91666666666666663</v>
      </c>
    </row>
    <row r="179" spans="2:7">
      <c r="B179" s="2">
        <v>45104</v>
      </c>
      <c r="C179" s="33">
        <v>1</v>
      </c>
      <c r="D179" s="33">
        <v>0</v>
      </c>
      <c r="E179" s="33">
        <v>0</v>
      </c>
      <c r="F179" s="31">
        <v>0.41666666666666669</v>
      </c>
      <c r="G179" s="31">
        <v>0.91666666666666663</v>
      </c>
    </row>
    <row r="180" spans="2:7">
      <c r="B180" s="2">
        <v>45105</v>
      </c>
      <c r="C180" s="33">
        <v>1</v>
      </c>
      <c r="D180" s="33">
        <v>0</v>
      </c>
      <c r="E180" s="33">
        <v>0</v>
      </c>
      <c r="F180" s="31">
        <v>0.41666666666666669</v>
      </c>
      <c r="G180" s="31">
        <v>0.91666666666666663</v>
      </c>
    </row>
    <row r="181" spans="2:7">
      <c r="B181" s="2">
        <v>45106</v>
      </c>
      <c r="C181" s="33">
        <v>1</v>
      </c>
      <c r="D181" s="33">
        <v>0</v>
      </c>
      <c r="E181" s="33">
        <v>0</v>
      </c>
      <c r="F181" s="31">
        <v>0.41666666666666669</v>
      </c>
      <c r="G181" s="31">
        <v>0.91666666666666663</v>
      </c>
    </row>
    <row r="182" spans="2:7">
      <c r="B182" s="2">
        <v>45107</v>
      </c>
      <c r="C182" s="33">
        <v>1</v>
      </c>
      <c r="D182" s="33">
        <v>0</v>
      </c>
      <c r="E182" s="33">
        <v>0</v>
      </c>
      <c r="F182" s="31">
        <v>0.41666666666666669</v>
      </c>
      <c r="G182" s="31">
        <v>0.91666666666666663</v>
      </c>
    </row>
    <row r="183" spans="2:7">
      <c r="B183" s="2">
        <v>45108</v>
      </c>
      <c r="C183" s="33">
        <v>1</v>
      </c>
      <c r="D183" s="33">
        <v>0</v>
      </c>
      <c r="E183" s="33">
        <v>0</v>
      </c>
      <c r="F183" s="31">
        <v>0.41666666666666669</v>
      </c>
      <c r="G183" s="31">
        <v>0.91666666666666663</v>
      </c>
    </row>
    <row r="184" spans="2:7">
      <c r="B184" s="2">
        <v>45109</v>
      </c>
      <c r="C184" s="33">
        <v>1</v>
      </c>
      <c r="D184" s="33">
        <v>0</v>
      </c>
      <c r="E184" s="33">
        <v>0</v>
      </c>
      <c r="F184" s="31">
        <v>0.45833333333333331</v>
      </c>
      <c r="G184" s="31">
        <v>0.875</v>
      </c>
    </row>
    <row r="185" spans="2:7">
      <c r="B185" s="2">
        <v>45110</v>
      </c>
      <c r="C185" s="33">
        <v>1</v>
      </c>
      <c r="D185" s="33">
        <v>0</v>
      </c>
      <c r="E185" s="33">
        <v>0</v>
      </c>
      <c r="F185" s="31">
        <v>0.41666666666666669</v>
      </c>
      <c r="G185" s="31">
        <v>0.91666666666666663</v>
      </c>
    </row>
    <row r="186" spans="2:7">
      <c r="B186" s="2">
        <v>45111</v>
      </c>
      <c r="C186" s="33">
        <v>1</v>
      </c>
      <c r="D186" s="33">
        <v>0</v>
      </c>
      <c r="E186" s="33">
        <v>0</v>
      </c>
      <c r="F186" s="31">
        <v>0.41666666666666669</v>
      </c>
      <c r="G186" s="31">
        <v>0.91666666666666663</v>
      </c>
    </row>
    <row r="187" spans="2:7">
      <c r="B187" s="2">
        <v>45112</v>
      </c>
      <c r="C187" s="33">
        <v>1</v>
      </c>
      <c r="D187" s="33">
        <v>0</v>
      </c>
      <c r="E187" s="33">
        <v>0</v>
      </c>
      <c r="F187" s="31">
        <v>0.41666666666666669</v>
      </c>
      <c r="G187" s="31">
        <v>0.91666666666666663</v>
      </c>
    </row>
    <row r="188" spans="2:7">
      <c r="B188" s="2">
        <v>45113</v>
      </c>
      <c r="C188" s="33">
        <v>1</v>
      </c>
      <c r="D188" s="33">
        <v>0</v>
      </c>
      <c r="E188" s="33">
        <v>0</v>
      </c>
      <c r="F188" s="31">
        <v>0.41666666666666669</v>
      </c>
      <c r="G188" s="31">
        <v>0.91666666666666663</v>
      </c>
    </row>
    <row r="189" spans="2:7">
      <c r="B189" s="2">
        <v>45114</v>
      </c>
      <c r="C189" s="33">
        <v>1</v>
      </c>
      <c r="D189" s="33">
        <v>0</v>
      </c>
      <c r="E189" s="33">
        <v>0</v>
      </c>
      <c r="F189" s="31">
        <v>0.41666666666666669</v>
      </c>
      <c r="G189" s="31">
        <v>0.91666666666666663</v>
      </c>
    </row>
    <row r="190" spans="2:7">
      <c r="B190" s="2">
        <v>45115</v>
      </c>
      <c r="C190" s="33">
        <v>1</v>
      </c>
      <c r="D190" s="33">
        <v>0</v>
      </c>
      <c r="E190" s="33">
        <v>0</v>
      </c>
      <c r="F190" s="31">
        <v>0.41666666666666669</v>
      </c>
      <c r="G190" s="31">
        <v>0.91666666666666663</v>
      </c>
    </row>
    <row r="191" spans="2:7">
      <c r="B191" s="2">
        <v>45116</v>
      </c>
      <c r="C191" s="33">
        <v>1</v>
      </c>
      <c r="D191" s="33">
        <v>0</v>
      </c>
      <c r="E191" s="33">
        <v>0</v>
      </c>
      <c r="F191" s="31">
        <v>0.45833333333333331</v>
      </c>
      <c r="G191" s="31">
        <v>0.875</v>
      </c>
    </row>
    <row r="192" spans="2:7">
      <c r="B192" s="2">
        <v>45117</v>
      </c>
      <c r="C192" s="33">
        <v>1</v>
      </c>
      <c r="D192" s="33">
        <v>0</v>
      </c>
      <c r="E192" s="33">
        <v>0</v>
      </c>
      <c r="F192" s="31">
        <v>0.41666666666666669</v>
      </c>
      <c r="G192" s="31">
        <v>0.91666666666666663</v>
      </c>
    </row>
    <row r="193" spans="2:7">
      <c r="B193" s="2">
        <v>45118</v>
      </c>
      <c r="C193" s="33">
        <v>1</v>
      </c>
      <c r="D193" s="33">
        <v>0</v>
      </c>
      <c r="E193" s="33">
        <v>0</v>
      </c>
      <c r="F193" s="31">
        <v>0.41666666666666669</v>
      </c>
      <c r="G193" s="31">
        <v>0.91666666666666663</v>
      </c>
    </row>
    <row r="194" spans="2:7">
      <c r="B194" s="2">
        <v>45119</v>
      </c>
      <c r="C194" s="33">
        <v>1</v>
      </c>
      <c r="D194" s="33">
        <v>0</v>
      </c>
      <c r="E194" s="33">
        <v>0</v>
      </c>
      <c r="F194" s="31">
        <v>0.41666666666666669</v>
      </c>
      <c r="G194" s="31">
        <v>0.91666666666666663</v>
      </c>
    </row>
    <row r="195" spans="2:7">
      <c r="B195" s="2">
        <v>45120</v>
      </c>
      <c r="C195" s="33">
        <v>1</v>
      </c>
      <c r="D195" s="33">
        <v>0</v>
      </c>
      <c r="E195" s="33">
        <v>0</v>
      </c>
      <c r="F195" s="31">
        <v>0.41666666666666669</v>
      </c>
      <c r="G195" s="31">
        <v>0.91666666666666663</v>
      </c>
    </row>
    <row r="196" spans="2:7">
      <c r="B196" s="2">
        <v>45121</v>
      </c>
      <c r="C196" s="33">
        <v>1</v>
      </c>
      <c r="D196" s="33">
        <v>0</v>
      </c>
      <c r="E196" s="33">
        <v>0</v>
      </c>
      <c r="F196" s="31">
        <v>0.41666666666666669</v>
      </c>
      <c r="G196" s="31">
        <v>0.91666666666666663</v>
      </c>
    </row>
    <row r="197" spans="2:7">
      <c r="B197" s="2">
        <v>45122</v>
      </c>
      <c r="C197" s="33">
        <v>1</v>
      </c>
      <c r="D197" s="33">
        <v>0</v>
      </c>
      <c r="E197" s="33">
        <v>0</v>
      </c>
      <c r="F197" s="31">
        <v>0.41666666666666669</v>
      </c>
      <c r="G197" s="31">
        <v>0.91666666666666663</v>
      </c>
    </row>
    <row r="198" spans="2:7">
      <c r="B198" s="2">
        <v>45123</v>
      </c>
      <c r="C198" s="33">
        <v>1</v>
      </c>
      <c r="D198" s="33">
        <v>0</v>
      </c>
      <c r="E198" s="33">
        <v>0</v>
      </c>
      <c r="F198" s="31">
        <v>0.45833333333333331</v>
      </c>
      <c r="G198" s="31">
        <v>0.875</v>
      </c>
    </row>
    <row r="199" spans="2:7">
      <c r="B199" s="2">
        <v>45124</v>
      </c>
      <c r="C199" s="33">
        <v>1</v>
      </c>
      <c r="D199" s="33">
        <v>0</v>
      </c>
      <c r="E199" s="33">
        <v>0</v>
      </c>
      <c r="F199" s="31">
        <v>0.41666666666666669</v>
      </c>
      <c r="G199" s="31">
        <v>0.91666666666666663</v>
      </c>
    </row>
    <row r="200" spans="2:7">
      <c r="B200" s="2">
        <v>45125</v>
      </c>
      <c r="C200" s="33">
        <v>1</v>
      </c>
      <c r="D200" s="33">
        <v>0</v>
      </c>
      <c r="E200" s="33">
        <v>0</v>
      </c>
      <c r="F200" s="31">
        <v>0.41666666666666669</v>
      </c>
      <c r="G200" s="31">
        <v>0.91666666666666663</v>
      </c>
    </row>
    <row r="201" spans="2:7">
      <c r="B201" s="2">
        <v>45126</v>
      </c>
      <c r="C201" s="33">
        <v>1</v>
      </c>
      <c r="D201" s="33">
        <v>0</v>
      </c>
      <c r="E201" s="33">
        <v>0</v>
      </c>
      <c r="F201" s="31">
        <v>0.41666666666666669</v>
      </c>
      <c r="G201" s="31">
        <v>0.91666666666666663</v>
      </c>
    </row>
    <row r="202" spans="2:7">
      <c r="B202" s="2">
        <v>45127</v>
      </c>
      <c r="C202" s="33">
        <v>1</v>
      </c>
      <c r="D202" s="33">
        <v>0</v>
      </c>
      <c r="E202" s="33">
        <v>0</v>
      </c>
      <c r="F202" s="31">
        <v>0.41666666666666669</v>
      </c>
      <c r="G202" s="31">
        <v>0.91666666666666663</v>
      </c>
    </row>
    <row r="203" spans="2:7">
      <c r="B203" s="2">
        <v>45128</v>
      </c>
      <c r="C203" s="33">
        <v>1</v>
      </c>
      <c r="D203" s="33">
        <v>0</v>
      </c>
      <c r="E203" s="33">
        <v>0</v>
      </c>
      <c r="F203" s="31">
        <v>0.41666666666666669</v>
      </c>
      <c r="G203" s="31">
        <v>0.91666666666666663</v>
      </c>
    </row>
    <row r="204" spans="2:7">
      <c r="B204" s="2">
        <v>45129</v>
      </c>
      <c r="C204" s="33">
        <v>1</v>
      </c>
      <c r="D204" s="33">
        <v>0</v>
      </c>
      <c r="E204" s="33">
        <v>0</v>
      </c>
      <c r="F204" s="31">
        <v>0.41666666666666669</v>
      </c>
      <c r="G204" s="31">
        <v>0.91666666666666663</v>
      </c>
    </row>
    <row r="205" spans="2:7">
      <c r="B205" s="2">
        <v>45130</v>
      </c>
      <c r="C205" s="33">
        <v>1</v>
      </c>
      <c r="D205" s="33">
        <v>0</v>
      </c>
      <c r="E205" s="33">
        <v>0</v>
      </c>
      <c r="F205" s="31">
        <v>0.45833333333333331</v>
      </c>
      <c r="G205" s="31">
        <v>0.875</v>
      </c>
    </row>
    <row r="206" spans="2:7">
      <c r="B206" s="2">
        <v>45131</v>
      </c>
      <c r="C206" s="33">
        <v>1</v>
      </c>
      <c r="D206" s="33">
        <v>0</v>
      </c>
      <c r="E206" s="33">
        <v>0</v>
      </c>
      <c r="F206" s="31">
        <v>0.41666666666666669</v>
      </c>
      <c r="G206" s="31">
        <v>0.91666666666666663</v>
      </c>
    </row>
    <row r="207" spans="2:7">
      <c r="B207" s="2">
        <v>45132</v>
      </c>
      <c r="C207" s="33">
        <v>1</v>
      </c>
      <c r="D207" s="33">
        <v>0</v>
      </c>
      <c r="E207" s="33">
        <v>0</v>
      </c>
      <c r="F207" s="31">
        <v>0.41666666666666669</v>
      </c>
      <c r="G207" s="31">
        <v>0.91666666666666663</v>
      </c>
    </row>
    <row r="208" spans="2:7">
      <c r="B208" s="2">
        <v>45133</v>
      </c>
      <c r="C208" s="33">
        <v>1</v>
      </c>
      <c r="D208" s="33">
        <v>0</v>
      </c>
      <c r="E208" s="33">
        <v>0</v>
      </c>
      <c r="F208" s="31">
        <v>0.41666666666666669</v>
      </c>
      <c r="G208" s="31">
        <v>0.91666666666666663</v>
      </c>
    </row>
    <row r="209" spans="2:7">
      <c r="B209" s="2">
        <v>45134</v>
      </c>
      <c r="C209" s="33">
        <v>1</v>
      </c>
      <c r="D209" s="33">
        <v>0</v>
      </c>
      <c r="E209" s="33">
        <v>0</v>
      </c>
      <c r="F209" s="31">
        <v>0.41666666666666669</v>
      </c>
      <c r="G209" s="31">
        <v>0.91666666666666663</v>
      </c>
    </row>
    <row r="210" spans="2:7">
      <c r="B210" s="2">
        <v>45135</v>
      </c>
      <c r="C210" s="33">
        <v>1</v>
      </c>
      <c r="D210" s="33">
        <v>0</v>
      </c>
      <c r="E210" s="33">
        <v>0</v>
      </c>
      <c r="F210" s="31">
        <v>0.41666666666666669</v>
      </c>
      <c r="G210" s="31">
        <v>0.91666666666666663</v>
      </c>
    </row>
    <row r="211" spans="2:7">
      <c r="B211" s="2">
        <v>45136</v>
      </c>
      <c r="C211" s="33">
        <v>1</v>
      </c>
      <c r="D211" s="33">
        <v>0</v>
      </c>
      <c r="E211" s="33">
        <v>0</v>
      </c>
      <c r="F211" s="31">
        <v>0.41666666666666669</v>
      </c>
      <c r="G211" s="31">
        <v>0.91666666666666663</v>
      </c>
    </row>
    <row r="212" spans="2:7">
      <c r="B212" s="2">
        <v>45137</v>
      </c>
      <c r="C212" s="33">
        <v>1</v>
      </c>
      <c r="D212" s="33">
        <v>0</v>
      </c>
      <c r="E212" s="33">
        <v>0</v>
      </c>
      <c r="F212" s="31">
        <v>0.45833333333333331</v>
      </c>
      <c r="G212" s="31">
        <v>0.875</v>
      </c>
    </row>
    <row r="213" spans="2:7">
      <c r="B213" s="2">
        <v>45138</v>
      </c>
      <c r="C213" s="33">
        <v>1</v>
      </c>
      <c r="D213" s="33">
        <v>0</v>
      </c>
      <c r="E213" s="33">
        <v>0</v>
      </c>
      <c r="F213" s="31">
        <v>0.41666666666666669</v>
      </c>
      <c r="G213" s="31">
        <v>0.91666666666666663</v>
      </c>
    </row>
    <row r="214" spans="2:7">
      <c r="B214" s="2">
        <v>45139</v>
      </c>
      <c r="C214" s="33">
        <v>1</v>
      </c>
      <c r="D214" s="33">
        <v>0</v>
      </c>
      <c r="E214" s="33">
        <v>0</v>
      </c>
      <c r="F214" s="31">
        <v>0.41666666666666669</v>
      </c>
      <c r="G214" s="31">
        <v>0.91666666666666663</v>
      </c>
    </row>
    <row r="215" spans="2:7">
      <c r="B215" s="2">
        <v>45140</v>
      </c>
      <c r="C215" s="33">
        <v>1</v>
      </c>
      <c r="D215" s="33">
        <v>0</v>
      </c>
      <c r="E215" s="33">
        <v>0</v>
      </c>
      <c r="F215" s="31">
        <v>0.41666666666666669</v>
      </c>
      <c r="G215" s="31">
        <v>0.91666666666666663</v>
      </c>
    </row>
    <row r="216" spans="2:7">
      <c r="B216" s="2">
        <v>45141</v>
      </c>
      <c r="C216" s="33">
        <v>1</v>
      </c>
      <c r="D216" s="33">
        <v>0</v>
      </c>
      <c r="E216" s="33">
        <v>0</v>
      </c>
      <c r="F216" s="31">
        <v>0.41666666666666669</v>
      </c>
      <c r="G216" s="31">
        <v>0.91666666666666663</v>
      </c>
    </row>
    <row r="217" spans="2:7">
      <c r="B217" s="2">
        <v>45142</v>
      </c>
      <c r="C217" s="33">
        <v>1</v>
      </c>
      <c r="D217" s="33">
        <v>0</v>
      </c>
      <c r="E217" s="33">
        <v>0</v>
      </c>
      <c r="F217" s="31">
        <v>0.41666666666666669</v>
      </c>
      <c r="G217" s="31">
        <v>0.91666666666666663</v>
      </c>
    </row>
    <row r="218" spans="2:7">
      <c r="B218" s="2">
        <v>45143</v>
      </c>
      <c r="C218" s="33">
        <v>1</v>
      </c>
      <c r="D218" s="33">
        <v>0</v>
      </c>
      <c r="E218" s="33">
        <v>0</v>
      </c>
      <c r="F218" s="31">
        <v>0.41666666666666669</v>
      </c>
      <c r="G218" s="31">
        <v>0.91666666666666663</v>
      </c>
    </row>
    <row r="219" spans="2:7">
      <c r="B219" s="2">
        <v>45144</v>
      </c>
      <c r="C219" s="33">
        <v>1</v>
      </c>
      <c r="D219" s="33">
        <v>0</v>
      </c>
      <c r="E219" s="33">
        <v>0</v>
      </c>
      <c r="F219" s="31">
        <v>0.45833333333333331</v>
      </c>
      <c r="G219" s="31">
        <v>0.875</v>
      </c>
    </row>
    <row r="220" spans="2:7">
      <c r="B220" s="2">
        <v>45145</v>
      </c>
      <c r="C220" s="33">
        <v>1</v>
      </c>
      <c r="D220" s="33">
        <v>0</v>
      </c>
      <c r="E220" s="33">
        <v>0</v>
      </c>
      <c r="F220" s="31">
        <v>0.41666666666666669</v>
      </c>
      <c r="G220" s="31">
        <v>0.91666666666666663</v>
      </c>
    </row>
    <row r="221" spans="2:7">
      <c r="B221" s="2">
        <v>45146</v>
      </c>
      <c r="C221" s="33">
        <v>1</v>
      </c>
      <c r="D221" s="33">
        <v>0</v>
      </c>
      <c r="E221" s="33">
        <v>0</v>
      </c>
      <c r="F221" s="31">
        <v>0.41666666666666669</v>
      </c>
      <c r="G221" s="31">
        <v>0.91666666666666663</v>
      </c>
    </row>
    <row r="222" spans="2:7">
      <c r="B222" s="2">
        <v>45147</v>
      </c>
      <c r="C222" s="33">
        <v>1</v>
      </c>
      <c r="D222" s="33">
        <v>0</v>
      </c>
      <c r="E222" s="33">
        <v>0</v>
      </c>
      <c r="F222" s="31">
        <v>0.41666666666666669</v>
      </c>
      <c r="G222" s="31">
        <v>0.91666666666666663</v>
      </c>
    </row>
    <row r="223" spans="2:7">
      <c r="B223" s="2">
        <v>45148</v>
      </c>
      <c r="C223" s="33">
        <v>1</v>
      </c>
      <c r="D223" s="33">
        <v>0</v>
      </c>
      <c r="E223" s="33">
        <v>0</v>
      </c>
      <c r="F223" s="31">
        <v>0.41666666666666669</v>
      </c>
      <c r="G223" s="31">
        <v>0.91666666666666663</v>
      </c>
    </row>
    <row r="224" spans="2:7">
      <c r="B224" s="2">
        <v>45149</v>
      </c>
      <c r="C224" s="33">
        <v>1</v>
      </c>
      <c r="D224" s="33">
        <v>0</v>
      </c>
      <c r="E224" s="33">
        <v>0</v>
      </c>
      <c r="F224" s="31">
        <v>0.41666666666666669</v>
      </c>
      <c r="G224" s="31">
        <v>0.91666666666666663</v>
      </c>
    </row>
    <row r="225" spans="2:7">
      <c r="B225" s="2">
        <v>45150</v>
      </c>
      <c r="C225" s="33">
        <v>1</v>
      </c>
      <c r="D225" s="33">
        <v>0</v>
      </c>
      <c r="E225" s="33">
        <v>0</v>
      </c>
      <c r="F225" s="31">
        <v>0.41666666666666669</v>
      </c>
      <c r="G225" s="31">
        <v>0.91666666666666663</v>
      </c>
    </row>
    <row r="226" spans="2:7">
      <c r="B226" s="2">
        <v>45151</v>
      </c>
      <c r="C226" s="33">
        <v>1</v>
      </c>
      <c r="D226" s="33">
        <v>0</v>
      </c>
      <c r="E226" s="33">
        <v>0</v>
      </c>
      <c r="F226" s="31">
        <v>0.45833333333333331</v>
      </c>
      <c r="G226" s="31">
        <v>0.875</v>
      </c>
    </row>
    <row r="227" spans="2:7">
      <c r="B227" s="2">
        <v>45152</v>
      </c>
      <c r="C227" s="33">
        <v>1</v>
      </c>
      <c r="D227" s="33">
        <v>0</v>
      </c>
      <c r="E227" s="33">
        <v>0</v>
      </c>
      <c r="F227" s="31">
        <v>0.41666666666666669</v>
      </c>
      <c r="G227" s="31">
        <v>0.91666666666666663</v>
      </c>
    </row>
    <row r="228" spans="2:7">
      <c r="B228" s="2">
        <v>45153</v>
      </c>
      <c r="C228" s="33">
        <v>0</v>
      </c>
      <c r="D228" s="33">
        <v>1</v>
      </c>
      <c r="E228" s="33">
        <v>0</v>
      </c>
    </row>
    <row r="229" spans="2:7">
      <c r="B229" s="2">
        <v>45154</v>
      </c>
      <c r="C229" s="33">
        <v>1</v>
      </c>
      <c r="D229" s="33">
        <v>0</v>
      </c>
      <c r="E229" s="33">
        <v>1</v>
      </c>
      <c r="F229" s="31">
        <v>0.41666666666666669</v>
      </c>
      <c r="G229" s="31">
        <v>0.91666666666666663</v>
      </c>
    </row>
    <row r="230" spans="2:7">
      <c r="B230" s="2">
        <v>45155</v>
      </c>
      <c r="C230" s="33">
        <v>1</v>
      </c>
      <c r="D230" s="33">
        <v>0</v>
      </c>
      <c r="E230" s="33">
        <v>0</v>
      </c>
      <c r="F230" s="31">
        <v>0.41666666666666669</v>
      </c>
      <c r="G230" s="31">
        <v>0.91666666666666663</v>
      </c>
    </row>
    <row r="231" spans="2:7">
      <c r="B231" s="2">
        <v>45156</v>
      </c>
      <c r="C231" s="33">
        <v>1</v>
      </c>
      <c r="D231" s="33">
        <v>0</v>
      </c>
      <c r="E231" s="33">
        <v>0</v>
      </c>
      <c r="F231" s="31">
        <v>0.41666666666666669</v>
      </c>
      <c r="G231" s="31">
        <v>0.91666666666666663</v>
      </c>
    </row>
    <row r="232" spans="2:7">
      <c r="B232" s="2">
        <v>45157</v>
      </c>
      <c r="C232" s="33">
        <v>1</v>
      </c>
      <c r="D232" s="33">
        <v>0</v>
      </c>
      <c r="E232" s="33">
        <v>0</v>
      </c>
      <c r="F232" s="31">
        <v>0.41666666666666669</v>
      </c>
      <c r="G232" s="31">
        <v>0.91666666666666663</v>
      </c>
    </row>
    <row r="233" spans="2:7">
      <c r="B233" s="2">
        <v>45158</v>
      </c>
      <c r="C233" s="33">
        <v>1</v>
      </c>
      <c r="D233" s="33">
        <v>0</v>
      </c>
      <c r="E233" s="33">
        <v>0</v>
      </c>
      <c r="F233" s="31">
        <v>0.45833333333333331</v>
      </c>
      <c r="G233" s="31">
        <v>0.875</v>
      </c>
    </row>
    <row r="234" spans="2:7">
      <c r="B234" s="2">
        <v>45159</v>
      </c>
      <c r="C234" s="33">
        <v>1</v>
      </c>
      <c r="D234" s="33">
        <v>0</v>
      </c>
      <c r="E234" s="33">
        <v>0</v>
      </c>
      <c r="F234" s="31">
        <v>0.41666666666666669</v>
      </c>
      <c r="G234" s="31">
        <v>0.91666666666666663</v>
      </c>
    </row>
    <row r="235" spans="2:7">
      <c r="B235" s="2">
        <v>45160</v>
      </c>
      <c r="C235" s="33">
        <v>1</v>
      </c>
      <c r="D235" s="33">
        <v>0</v>
      </c>
      <c r="E235" s="33">
        <v>0</v>
      </c>
      <c r="F235" s="31">
        <v>0.41666666666666669</v>
      </c>
      <c r="G235" s="31">
        <v>0.91666666666666663</v>
      </c>
    </row>
    <row r="236" spans="2:7">
      <c r="B236" s="2">
        <v>45161</v>
      </c>
      <c r="C236" s="33">
        <v>1</v>
      </c>
      <c r="D236" s="33">
        <v>0</v>
      </c>
      <c r="E236" s="33">
        <v>0</v>
      </c>
      <c r="F236" s="31">
        <v>0.41666666666666669</v>
      </c>
      <c r="G236" s="31">
        <v>0.91666666666666663</v>
      </c>
    </row>
    <row r="237" spans="2:7">
      <c r="B237" s="2">
        <v>45162</v>
      </c>
      <c r="C237" s="33">
        <v>1</v>
      </c>
      <c r="D237" s="33">
        <v>0</v>
      </c>
      <c r="E237" s="33">
        <v>0</v>
      </c>
      <c r="F237" s="31">
        <v>0.41666666666666669</v>
      </c>
      <c r="G237" s="31">
        <v>0.91666666666666663</v>
      </c>
    </row>
    <row r="238" spans="2:7">
      <c r="B238" s="2">
        <v>45163</v>
      </c>
      <c r="C238" s="33">
        <v>1</v>
      </c>
      <c r="D238" s="33">
        <v>0</v>
      </c>
      <c r="E238" s="33">
        <v>0</v>
      </c>
      <c r="F238" s="31">
        <v>0.41666666666666669</v>
      </c>
      <c r="G238" s="31">
        <v>0.91666666666666663</v>
      </c>
    </row>
    <row r="239" spans="2:7">
      <c r="B239" s="2">
        <v>45164</v>
      </c>
      <c r="C239" s="33">
        <v>1</v>
      </c>
      <c r="D239" s="33">
        <v>0</v>
      </c>
      <c r="E239" s="33">
        <v>0</v>
      </c>
      <c r="F239" s="31">
        <v>0.41666666666666669</v>
      </c>
      <c r="G239" s="31">
        <v>0.91666666666666663</v>
      </c>
    </row>
    <row r="240" spans="2:7">
      <c r="B240" s="2">
        <v>45165</v>
      </c>
      <c r="C240" s="33">
        <v>1</v>
      </c>
      <c r="D240" s="33">
        <v>0</v>
      </c>
      <c r="E240" s="33">
        <v>0</v>
      </c>
      <c r="F240" s="31">
        <v>0.45833333333333331</v>
      </c>
      <c r="G240" s="31">
        <v>0.875</v>
      </c>
    </row>
    <row r="241" spans="2:7">
      <c r="B241" s="2">
        <v>45166</v>
      </c>
      <c r="C241" s="33">
        <v>1</v>
      </c>
      <c r="D241" s="33">
        <v>0</v>
      </c>
      <c r="E241" s="33">
        <v>0</v>
      </c>
      <c r="F241" s="31">
        <v>0.41666666666666669</v>
      </c>
      <c r="G241" s="31">
        <v>0.91666666666666663</v>
      </c>
    </row>
    <row r="242" spans="2:7">
      <c r="B242" s="2">
        <v>45167</v>
      </c>
      <c r="C242" s="33">
        <v>1</v>
      </c>
      <c r="D242" s="33">
        <v>0</v>
      </c>
      <c r="E242" s="33">
        <v>0</v>
      </c>
      <c r="F242" s="31">
        <v>0.41666666666666669</v>
      </c>
      <c r="G242" s="31">
        <v>0.91666666666666663</v>
      </c>
    </row>
    <row r="243" spans="2:7">
      <c r="B243" s="2">
        <v>45168</v>
      </c>
      <c r="C243" s="33">
        <v>1</v>
      </c>
      <c r="D243" s="33">
        <v>0</v>
      </c>
      <c r="E243" s="33">
        <v>0</v>
      </c>
      <c r="F243" s="31">
        <v>0.41666666666666669</v>
      </c>
      <c r="G243" s="31">
        <v>0.91666666666666663</v>
      </c>
    </row>
    <row r="244" spans="2:7">
      <c r="B244" s="2">
        <v>45169</v>
      </c>
      <c r="C244" s="33">
        <v>1</v>
      </c>
      <c r="D244" s="33">
        <v>0</v>
      </c>
      <c r="E244" s="33">
        <v>0</v>
      </c>
      <c r="F244" s="31">
        <v>0.41666666666666669</v>
      </c>
      <c r="G244" s="31">
        <v>0.91666666666666663</v>
      </c>
    </row>
    <row r="245" spans="2:7">
      <c r="B245" s="2">
        <v>45170</v>
      </c>
      <c r="C245" s="33">
        <v>1</v>
      </c>
      <c r="D245" s="33">
        <v>0</v>
      </c>
      <c r="E245" s="33">
        <v>0</v>
      </c>
      <c r="F245" s="31">
        <v>0.41666666666666669</v>
      </c>
      <c r="G245" s="31">
        <v>0.91666666666666663</v>
      </c>
    </row>
    <row r="246" spans="2:7">
      <c r="B246" s="2">
        <v>45171</v>
      </c>
      <c r="C246" s="33">
        <v>1</v>
      </c>
      <c r="D246" s="33">
        <v>0</v>
      </c>
      <c r="E246" s="33">
        <v>0</v>
      </c>
      <c r="F246" s="31">
        <v>0.41666666666666669</v>
      </c>
      <c r="G246" s="31">
        <v>0.91666666666666663</v>
      </c>
    </row>
    <row r="247" spans="2:7">
      <c r="B247" s="2">
        <v>45172</v>
      </c>
      <c r="C247" s="33">
        <v>1</v>
      </c>
      <c r="D247" s="33">
        <v>0</v>
      </c>
      <c r="E247" s="33">
        <v>0</v>
      </c>
      <c r="F247" s="31">
        <v>0.45833333333333331</v>
      </c>
      <c r="G247" s="31">
        <v>0.875</v>
      </c>
    </row>
    <row r="248" spans="2:7">
      <c r="B248" s="2">
        <v>45173</v>
      </c>
      <c r="C248" s="33">
        <v>1</v>
      </c>
      <c r="D248" s="33">
        <v>0</v>
      </c>
      <c r="E248" s="33">
        <v>0</v>
      </c>
      <c r="F248" s="31">
        <v>0.41666666666666669</v>
      </c>
      <c r="G248" s="31">
        <v>0.91666666666666663</v>
      </c>
    </row>
    <row r="249" spans="2:7">
      <c r="B249" s="2">
        <v>45174</v>
      </c>
      <c r="C249" s="33">
        <v>1</v>
      </c>
      <c r="D249" s="33">
        <v>0</v>
      </c>
      <c r="E249" s="33">
        <v>0</v>
      </c>
      <c r="F249" s="31">
        <v>0.41666666666666669</v>
      </c>
      <c r="G249" s="31">
        <v>0.91666666666666663</v>
      </c>
    </row>
    <row r="250" spans="2:7">
      <c r="B250" s="2">
        <v>45175</v>
      </c>
      <c r="C250" s="33">
        <v>1</v>
      </c>
      <c r="D250" s="33">
        <v>0</v>
      </c>
      <c r="E250" s="33">
        <v>0</v>
      </c>
      <c r="F250" s="31">
        <v>0.41666666666666669</v>
      </c>
      <c r="G250" s="31">
        <v>0.91666666666666663</v>
      </c>
    </row>
    <row r="251" spans="2:7">
      <c r="B251" s="2">
        <v>45176</v>
      </c>
      <c r="C251" s="33">
        <v>1</v>
      </c>
      <c r="D251" s="33">
        <v>0</v>
      </c>
      <c r="E251" s="33">
        <v>0</v>
      </c>
      <c r="F251" s="31">
        <v>0.41666666666666669</v>
      </c>
      <c r="G251" s="31">
        <v>0.91666666666666663</v>
      </c>
    </row>
    <row r="252" spans="2:7">
      <c r="B252" s="2">
        <v>45177</v>
      </c>
      <c r="C252" s="33">
        <v>1</v>
      </c>
      <c r="D252" s="33">
        <v>0</v>
      </c>
      <c r="E252" s="33">
        <v>0</v>
      </c>
      <c r="F252" s="31">
        <v>0.41666666666666669</v>
      </c>
      <c r="G252" s="31">
        <v>0.91666666666666663</v>
      </c>
    </row>
    <row r="253" spans="2:7">
      <c r="B253" s="2">
        <v>45178</v>
      </c>
      <c r="C253" s="33">
        <v>1</v>
      </c>
      <c r="D253" s="33">
        <v>0</v>
      </c>
      <c r="E253" s="33">
        <v>0</v>
      </c>
      <c r="F253" s="31">
        <v>0.41666666666666669</v>
      </c>
      <c r="G253" s="31">
        <v>0.91666666666666663</v>
      </c>
    </row>
    <row r="254" spans="2:7">
      <c r="B254" s="2">
        <v>45179</v>
      </c>
      <c r="C254" s="33">
        <v>1</v>
      </c>
      <c r="D254" s="33">
        <v>0</v>
      </c>
      <c r="E254" s="33">
        <v>0</v>
      </c>
      <c r="F254" s="31">
        <v>0.45833333333333331</v>
      </c>
      <c r="G254" s="31">
        <v>0.875</v>
      </c>
    </row>
    <row r="255" spans="2:7">
      <c r="B255" s="2">
        <v>45180</v>
      </c>
      <c r="C255" s="33">
        <v>1</v>
      </c>
      <c r="D255" s="33">
        <v>0</v>
      </c>
      <c r="E255" s="33">
        <v>0</v>
      </c>
      <c r="F255" s="31">
        <v>0.41666666666666669</v>
      </c>
      <c r="G255" s="31">
        <v>0.91666666666666663</v>
      </c>
    </row>
    <row r="256" spans="2:7">
      <c r="B256" s="2">
        <v>45181</v>
      </c>
      <c r="C256" s="33">
        <v>1</v>
      </c>
      <c r="D256" s="33">
        <v>0</v>
      </c>
      <c r="E256" s="33">
        <v>0</v>
      </c>
      <c r="F256" s="31">
        <v>0.41666666666666669</v>
      </c>
      <c r="G256" s="31">
        <v>0.91666666666666663</v>
      </c>
    </row>
    <row r="257" spans="2:7">
      <c r="B257" s="2">
        <v>45182</v>
      </c>
      <c r="C257" s="33">
        <v>1</v>
      </c>
      <c r="D257" s="33">
        <v>0</v>
      </c>
      <c r="E257" s="33">
        <v>0</v>
      </c>
      <c r="F257" s="31">
        <v>0.41666666666666669</v>
      </c>
      <c r="G257" s="31">
        <v>0.91666666666666663</v>
      </c>
    </row>
    <row r="258" spans="2:7">
      <c r="B258" s="2">
        <v>45183</v>
      </c>
      <c r="C258" s="33">
        <v>1</v>
      </c>
      <c r="D258" s="33">
        <v>0</v>
      </c>
      <c r="E258" s="33">
        <v>0</v>
      </c>
      <c r="F258" s="31">
        <v>0.41666666666666669</v>
      </c>
      <c r="G258" s="31">
        <v>0.91666666666666663</v>
      </c>
    </row>
    <row r="259" spans="2:7">
      <c r="B259" s="2">
        <v>45184</v>
      </c>
      <c r="C259" s="33">
        <v>1</v>
      </c>
      <c r="D259" s="33">
        <v>0</v>
      </c>
      <c r="E259" s="33">
        <v>0</v>
      </c>
      <c r="F259" s="31">
        <v>0.41666666666666669</v>
      </c>
      <c r="G259" s="31">
        <v>0.91666666666666663</v>
      </c>
    </row>
    <row r="260" spans="2:7">
      <c r="B260" s="2">
        <v>45185</v>
      </c>
      <c r="C260" s="33">
        <v>1</v>
      </c>
      <c r="D260" s="33">
        <v>0</v>
      </c>
      <c r="E260" s="33">
        <v>0</v>
      </c>
      <c r="F260" s="31">
        <v>0.41666666666666669</v>
      </c>
      <c r="G260" s="31">
        <v>0.91666666666666663</v>
      </c>
    </row>
    <row r="261" spans="2:7">
      <c r="B261" s="2">
        <v>45186</v>
      </c>
      <c r="C261" s="33">
        <v>1</v>
      </c>
      <c r="D261" s="33">
        <v>0</v>
      </c>
      <c r="E261" s="33">
        <v>0</v>
      </c>
      <c r="F261" s="31">
        <v>0.45833333333333331</v>
      </c>
      <c r="G261" s="31">
        <v>0.875</v>
      </c>
    </row>
    <row r="262" spans="2:7">
      <c r="B262" s="2">
        <v>45187</v>
      </c>
      <c r="C262" s="33">
        <v>1</v>
      </c>
      <c r="D262" s="33">
        <v>0</v>
      </c>
      <c r="E262" s="33">
        <v>0</v>
      </c>
      <c r="F262" s="31">
        <v>0.41666666666666669</v>
      </c>
      <c r="G262" s="31">
        <v>0.91666666666666663</v>
      </c>
    </row>
    <row r="263" spans="2:7">
      <c r="B263" s="2">
        <v>45188</v>
      </c>
      <c r="C263" s="33">
        <v>1</v>
      </c>
      <c r="D263" s="33">
        <v>0</v>
      </c>
      <c r="E263" s="33">
        <v>0</v>
      </c>
      <c r="F263" s="31">
        <v>0.41666666666666669</v>
      </c>
      <c r="G263" s="31">
        <v>0.91666666666666663</v>
      </c>
    </row>
    <row r="264" spans="2:7">
      <c r="B264" s="2">
        <v>45189</v>
      </c>
      <c r="C264" s="33">
        <v>1</v>
      </c>
      <c r="D264" s="33">
        <v>0</v>
      </c>
      <c r="E264" s="33">
        <v>0</v>
      </c>
      <c r="F264" s="31">
        <v>0.41666666666666669</v>
      </c>
      <c r="G264" s="31">
        <v>0.91666666666666663</v>
      </c>
    </row>
    <row r="265" spans="2:7">
      <c r="B265" s="2">
        <v>45190</v>
      </c>
      <c r="C265" s="33">
        <v>1</v>
      </c>
      <c r="D265" s="33">
        <v>0</v>
      </c>
      <c r="E265" s="33">
        <v>0</v>
      </c>
      <c r="F265" s="31">
        <v>0.41666666666666669</v>
      </c>
      <c r="G265" s="31">
        <v>0.91666666666666663</v>
      </c>
    </row>
    <row r="266" spans="2:7">
      <c r="B266" s="2">
        <v>45191</v>
      </c>
      <c r="C266" s="33">
        <v>1</v>
      </c>
      <c r="D266" s="33">
        <v>0</v>
      </c>
      <c r="E266" s="33">
        <v>0</v>
      </c>
      <c r="F266" s="31">
        <v>0.41666666666666669</v>
      </c>
      <c r="G266" s="31">
        <v>0.91666666666666663</v>
      </c>
    </row>
    <row r="267" spans="2:7">
      <c r="B267" s="2">
        <v>45192</v>
      </c>
      <c r="C267" s="33">
        <v>1</v>
      </c>
      <c r="D267" s="33">
        <v>0</v>
      </c>
      <c r="E267" s="33">
        <v>0</v>
      </c>
      <c r="F267" s="31">
        <v>0.41666666666666669</v>
      </c>
      <c r="G267" s="31">
        <v>0.91666666666666663</v>
      </c>
    </row>
    <row r="268" spans="2:7">
      <c r="B268" s="2">
        <v>45193</v>
      </c>
      <c r="C268" s="33">
        <v>1</v>
      </c>
      <c r="D268" s="33">
        <v>0</v>
      </c>
      <c r="E268" s="33">
        <v>0</v>
      </c>
      <c r="F268" s="31">
        <v>0.45833333333333331</v>
      </c>
      <c r="G268" s="31">
        <v>0.875</v>
      </c>
    </row>
    <row r="269" spans="2:7">
      <c r="B269" s="2">
        <v>45194</v>
      </c>
      <c r="C269" s="33">
        <v>1</v>
      </c>
      <c r="D269" s="33">
        <v>0</v>
      </c>
      <c r="E269" s="33">
        <v>0</v>
      </c>
      <c r="F269" s="31">
        <v>0.41666666666666669</v>
      </c>
      <c r="G269" s="31">
        <v>0.91666666666666663</v>
      </c>
    </row>
    <row r="270" spans="2:7">
      <c r="B270" s="2">
        <v>45195</v>
      </c>
      <c r="C270" s="33">
        <v>1</v>
      </c>
      <c r="D270" s="33">
        <v>0</v>
      </c>
      <c r="E270" s="33">
        <v>0</v>
      </c>
      <c r="F270" s="31">
        <v>0.41666666666666669</v>
      </c>
      <c r="G270" s="31">
        <v>0.91666666666666663</v>
      </c>
    </row>
    <row r="271" spans="2:7">
      <c r="B271" s="2">
        <v>45196</v>
      </c>
      <c r="C271" s="33">
        <v>1</v>
      </c>
      <c r="D271" s="33">
        <v>0</v>
      </c>
      <c r="E271" s="33">
        <v>0</v>
      </c>
      <c r="F271" s="31">
        <v>0.41666666666666669</v>
      </c>
      <c r="G271" s="31">
        <v>0.91666666666666663</v>
      </c>
    </row>
    <row r="272" spans="2:7">
      <c r="B272" s="2">
        <v>45197</v>
      </c>
      <c r="C272" s="33">
        <v>1</v>
      </c>
      <c r="D272" s="33">
        <v>0</v>
      </c>
      <c r="E272" s="33">
        <v>0</v>
      </c>
      <c r="F272" s="31">
        <v>0.41666666666666669</v>
      </c>
      <c r="G272" s="31">
        <v>0.91666666666666663</v>
      </c>
    </row>
    <row r="273" spans="2:7">
      <c r="B273" s="2">
        <v>45198</v>
      </c>
      <c r="C273" s="33">
        <v>1</v>
      </c>
      <c r="D273" s="33">
        <v>0</v>
      </c>
      <c r="E273" s="33">
        <v>0</v>
      </c>
      <c r="F273" s="31">
        <v>0.41666666666666669</v>
      </c>
      <c r="G273" s="31">
        <v>0.91666666666666663</v>
      </c>
    </row>
    <row r="274" spans="2:7">
      <c r="B274" s="2">
        <v>45199</v>
      </c>
      <c r="C274" s="33">
        <v>1</v>
      </c>
      <c r="D274" s="33">
        <v>0</v>
      </c>
      <c r="E274" s="33">
        <v>0</v>
      </c>
      <c r="F274" s="31">
        <v>0.41666666666666669</v>
      </c>
      <c r="G274" s="31">
        <v>0.91666666666666663</v>
      </c>
    </row>
    <row r="275" spans="2:7">
      <c r="B275" s="2">
        <v>45200</v>
      </c>
      <c r="C275" s="33">
        <v>1</v>
      </c>
      <c r="D275" s="33">
        <v>0</v>
      </c>
      <c r="E275" s="33">
        <v>0</v>
      </c>
      <c r="F275" s="31">
        <v>0.45833333333333331</v>
      </c>
      <c r="G275" s="31">
        <v>0.875</v>
      </c>
    </row>
    <row r="276" spans="2:7">
      <c r="B276" s="2">
        <v>45201</v>
      </c>
      <c r="C276" s="33">
        <v>1</v>
      </c>
      <c r="D276" s="33">
        <v>0</v>
      </c>
      <c r="E276" s="33">
        <v>0</v>
      </c>
      <c r="F276" s="31">
        <v>0.41666666666666669</v>
      </c>
      <c r="G276" s="31">
        <v>0.91666666666666663</v>
      </c>
    </row>
    <row r="277" spans="2:7">
      <c r="B277" s="2">
        <v>45202</v>
      </c>
      <c r="C277" s="33">
        <v>1</v>
      </c>
      <c r="D277" s="33">
        <v>0</v>
      </c>
      <c r="E277" s="33">
        <v>0</v>
      </c>
      <c r="F277" s="31">
        <v>0.41666666666666669</v>
      </c>
      <c r="G277" s="31">
        <v>0.91666666666666663</v>
      </c>
    </row>
    <row r="278" spans="2:7">
      <c r="B278" s="2">
        <v>45203</v>
      </c>
      <c r="C278" s="33">
        <v>1</v>
      </c>
      <c r="D278" s="33">
        <v>0</v>
      </c>
      <c r="E278" s="33">
        <v>0</v>
      </c>
      <c r="F278" s="31">
        <v>0.41666666666666669</v>
      </c>
      <c r="G278" s="31">
        <v>0.91666666666666663</v>
      </c>
    </row>
    <row r="279" spans="2:7">
      <c r="B279" s="2">
        <v>45204</v>
      </c>
      <c r="C279" s="33">
        <v>1</v>
      </c>
      <c r="D279" s="33">
        <v>0</v>
      </c>
      <c r="E279" s="33">
        <v>0</v>
      </c>
      <c r="F279" s="31">
        <v>0.41666666666666669</v>
      </c>
      <c r="G279" s="31">
        <v>0.91666666666666663</v>
      </c>
    </row>
    <row r="280" spans="2:7">
      <c r="B280" s="2">
        <v>45205</v>
      </c>
      <c r="C280" s="33">
        <v>1</v>
      </c>
      <c r="D280" s="33">
        <v>0</v>
      </c>
      <c r="E280" s="33">
        <v>0</v>
      </c>
      <c r="F280" s="31">
        <v>0.41666666666666669</v>
      </c>
      <c r="G280" s="31">
        <v>0.91666666666666663</v>
      </c>
    </row>
    <row r="281" spans="2:7">
      <c r="B281" s="2">
        <v>45206</v>
      </c>
      <c r="C281" s="33">
        <v>1</v>
      </c>
      <c r="D281" s="33">
        <v>0</v>
      </c>
      <c r="E281" s="33">
        <v>0</v>
      </c>
      <c r="F281" s="31">
        <v>0.41666666666666669</v>
      </c>
      <c r="G281" s="31">
        <v>0.91666666666666663</v>
      </c>
    </row>
    <row r="282" spans="2:7">
      <c r="B282" s="2">
        <v>45207</v>
      </c>
      <c r="C282" s="33">
        <v>1</v>
      </c>
      <c r="D282" s="33">
        <v>0</v>
      </c>
      <c r="E282" s="33">
        <v>0</v>
      </c>
      <c r="F282" s="31">
        <v>0.45833333333333331</v>
      </c>
      <c r="G282" s="31">
        <v>0.875</v>
      </c>
    </row>
    <row r="283" spans="2:7">
      <c r="B283" s="2">
        <v>45208</v>
      </c>
      <c r="C283" s="33">
        <v>0</v>
      </c>
      <c r="D283" s="33">
        <v>1</v>
      </c>
      <c r="E283" s="33">
        <v>0</v>
      </c>
    </row>
    <row r="284" spans="2:7">
      <c r="B284" s="2">
        <v>45209</v>
      </c>
      <c r="C284" s="33">
        <v>1</v>
      </c>
      <c r="D284" s="33">
        <v>0</v>
      </c>
      <c r="E284" s="33">
        <v>1</v>
      </c>
      <c r="F284" s="31">
        <v>0.41666666666666669</v>
      </c>
      <c r="G284" s="31">
        <v>0.91666666666666663</v>
      </c>
    </row>
    <row r="285" spans="2:7">
      <c r="B285" s="2">
        <v>45210</v>
      </c>
      <c r="C285" s="33">
        <v>1</v>
      </c>
      <c r="D285" s="33">
        <v>0</v>
      </c>
      <c r="E285" s="33">
        <v>0</v>
      </c>
      <c r="F285" s="31">
        <v>0.41666666666666669</v>
      </c>
      <c r="G285" s="31">
        <v>0.91666666666666663</v>
      </c>
    </row>
    <row r="286" spans="2:7">
      <c r="B286" s="2">
        <v>45211</v>
      </c>
      <c r="C286" s="33">
        <v>1</v>
      </c>
      <c r="D286" s="33">
        <v>0</v>
      </c>
      <c r="E286" s="33">
        <v>0</v>
      </c>
      <c r="F286" s="31">
        <v>0.45833333333333331</v>
      </c>
      <c r="G286" s="31">
        <v>0.875</v>
      </c>
    </row>
    <row r="287" spans="2:7">
      <c r="B287" s="2">
        <v>45212</v>
      </c>
      <c r="C287" s="33">
        <v>1</v>
      </c>
      <c r="D287" s="33">
        <v>0</v>
      </c>
      <c r="E287" s="33">
        <v>0</v>
      </c>
      <c r="F287" s="31">
        <v>0.41666666666666669</v>
      </c>
      <c r="G287" s="31">
        <v>0.91666666666666663</v>
      </c>
    </row>
    <row r="288" spans="2:7">
      <c r="B288" s="2">
        <v>45213</v>
      </c>
      <c r="C288" s="33">
        <v>1</v>
      </c>
      <c r="D288" s="33">
        <v>0</v>
      </c>
      <c r="E288" s="33">
        <v>0</v>
      </c>
      <c r="F288" s="31">
        <v>0.41666666666666669</v>
      </c>
      <c r="G288" s="31">
        <v>0.91666666666666663</v>
      </c>
    </row>
    <row r="289" spans="2:7">
      <c r="B289" s="2">
        <v>45214</v>
      </c>
      <c r="C289" s="33">
        <v>1</v>
      </c>
      <c r="D289" s="33">
        <v>0</v>
      </c>
      <c r="E289" s="33">
        <v>0</v>
      </c>
      <c r="F289" s="31">
        <v>0.45833333333333331</v>
      </c>
      <c r="G289" s="31">
        <v>0.875</v>
      </c>
    </row>
    <row r="290" spans="2:7">
      <c r="B290" s="2">
        <v>45215</v>
      </c>
      <c r="C290" s="33">
        <v>1</v>
      </c>
      <c r="D290" s="33">
        <v>0</v>
      </c>
      <c r="E290" s="33">
        <v>0</v>
      </c>
      <c r="F290" s="31">
        <v>0.41666666666666669</v>
      </c>
      <c r="G290" s="31">
        <v>0.91666666666666663</v>
      </c>
    </row>
    <row r="291" spans="2:7">
      <c r="B291" s="2">
        <v>45216</v>
      </c>
      <c r="C291" s="33">
        <v>1</v>
      </c>
      <c r="D291" s="33">
        <v>0</v>
      </c>
      <c r="E291" s="33">
        <v>0</v>
      </c>
      <c r="F291" s="31">
        <v>0.41666666666666669</v>
      </c>
      <c r="G291" s="31">
        <v>0.91666666666666663</v>
      </c>
    </row>
    <row r="292" spans="2:7">
      <c r="B292" s="2">
        <v>45217</v>
      </c>
      <c r="C292" s="33">
        <v>1</v>
      </c>
      <c r="D292" s="33">
        <v>0</v>
      </c>
      <c r="E292" s="33">
        <v>0</v>
      </c>
      <c r="F292" s="31">
        <v>0.41666666666666669</v>
      </c>
      <c r="G292" s="31">
        <v>0.91666666666666663</v>
      </c>
    </row>
    <row r="293" spans="2:7">
      <c r="B293" s="2">
        <v>45218</v>
      </c>
      <c r="C293" s="33">
        <v>1</v>
      </c>
      <c r="D293" s="33">
        <v>0</v>
      </c>
      <c r="E293" s="33">
        <v>0</v>
      </c>
      <c r="F293" s="31">
        <v>0.41666666666666669</v>
      </c>
      <c r="G293" s="31">
        <v>0.91666666666666663</v>
      </c>
    </row>
    <row r="294" spans="2:7">
      <c r="B294" s="2">
        <v>45219</v>
      </c>
      <c r="C294" s="33">
        <v>1</v>
      </c>
      <c r="D294" s="33">
        <v>0</v>
      </c>
      <c r="E294" s="33">
        <v>0</v>
      </c>
      <c r="F294" s="31">
        <v>0.41666666666666669</v>
      </c>
      <c r="G294" s="31">
        <v>0.91666666666666663</v>
      </c>
    </row>
    <row r="295" spans="2:7">
      <c r="B295" s="2">
        <v>45220</v>
      </c>
      <c r="C295" s="33">
        <v>1</v>
      </c>
      <c r="D295" s="33">
        <v>0</v>
      </c>
      <c r="E295" s="33">
        <v>0</v>
      </c>
      <c r="F295" s="31">
        <v>0.41666666666666669</v>
      </c>
      <c r="G295" s="31">
        <v>0.91666666666666663</v>
      </c>
    </row>
    <row r="296" spans="2:7">
      <c r="B296" s="2">
        <v>45221</v>
      </c>
      <c r="C296" s="33">
        <v>1</v>
      </c>
      <c r="D296" s="33">
        <v>0</v>
      </c>
      <c r="E296" s="33">
        <v>0</v>
      </c>
      <c r="F296" s="31">
        <v>0.45833333333333331</v>
      </c>
      <c r="G296" s="31">
        <v>0.875</v>
      </c>
    </row>
    <row r="297" spans="2:7">
      <c r="B297" s="2">
        <v>45222</v>
      </c>
      <c r="C297" s="33">
        <v>1</v>
      </c>
      <c r="D297" s="33">
        <v>0</v>
      </c>
      <c r="E297" s="33">
        <v>0</v>
      </c>
      <c r="F297" s="31">
        <v>0.41666666666666669</v>
      </c>
      <c r="G297" s="31">
        <v>0.91666666666666663</v>
      </c>
    </row>
    <row r="298" spans="2:7">
      <c r="B298" s="2">
        <v>45223</v>
      </c>
      <c r="C298" s="33">
        <v>1</v>
      </c>
      <c r="D298" s="33">
        <v>0</v>
      </c>
      <c r="E298" s="33">
        <v>0</v>
      </c>
      <c r="F298" s="31">
        <v>0.41666666666666669</v>
      </c>
      <c r="G298" s="31">
        <v>0.91666666666666663</v>
      </c>
    </row>
    <row r="299" spans="2:7">
      <c r="B299" s="2">
        <v>45224</v>
      </c>
      <c r="C299" s="33">
        <v>1</v>
      </c>
      <c r="D299" s="33">
        <v>0</v>
      </c>
      <c r="E299" s="33">
        <v>0</v>
      </c>
      <c r="F299" s="31">
        <v>0.41666666666666669</v>
      </c>
      <c r="G299" s="31">
        <v>0.91666666666666663</v>
      </c>
    </row>
    <row r="300" spans="2:7">
      <c r="B300" s="2">
        <v>45225</v>
      </c>
      <c r="C300" s="33">
        <v>1</v>
      </c>
      <c r="D300" s="33">
        <v>0</v>
      </c>
      <c r="E300" s="33">
        <v>0</v>
      </c>
      <c r="F300" s="31">
        <v>0.41666666666666669</v>
      </c>
      <c r="G300" s="31">
        <v>0.91666666666666663</v>
      </c>
    </row>
    <row r="301" spans="2:7">
      <c r="B301" s="2">
        <v>45226</v>
      </c>
      <c r="C301" s="33">
        <v>1</v>
      </c>
      <c r="D301" s="33">
        <v>0</v>
      </c>
      <c r="E301" s="33">
        <v>0</v>
      </c>
      <c r="F301" s="31">
        <v>0.41666666666666669</v>
      </c>
      <c r="G301" s="31">
        <v>0.91666666666666663</v>
      </c>
    </row>
    <row r="302" spans="2:7">
      <c r="B302" s="2">
        <v>45227</v>
      </c>
      <c r="C302" s="33">
        <v>1</v>
      </c>
      <c r="D302" s="33">
        <v>0</v>
      </c>
      <c r="E302" s="33">
        <v>0</v>
      </c>
      <c r="F302" s="31">
        <v>0.41666666666666669</v>
      </c>
      <c r="G302" s="31">
        <v>0.91666666666666663</v>
      </c>
    </row>
    <row r="303" spans="2:7">
      <c r="B303" s="2">
        <v>45228</v>
      </c>
      <c r="C303" s="33">
        <v>1</v>
      </c>
      <c r="D303" s="33">
        <v>0</v>
      </c>
      <c r="E303" s="33">
        <v>0</v>
      </c>
      <c r="F303" s="31">
        <v>0.45833333333333331</v>
      </c>
      <c r="G303" s="31">
        <v>0.875</v>
      </c>
    </row>
    <row r="304" spans="2:7">
      <c r="B304" s="2">
        <v>45229</v>
      </c>
      <c r="C304" s="33">
        <v>1</v>
      </c>
      <c r="D304" s="33">
        <v>0</v>
      </c>
      <c r="E304" s="33">
        <v>0</v>
      </c>
      <c r="F304" s="31">
        <v>0.41666666666666669</v>
      </c>
      <c r="G304" s="31">
        <v>0.91666666666666663</v>
      </c>
    </row>
    <row r="305" spans="2:7">
      <c r="B305" s="2">
        <v>45230</v>
      </c>
      <c r="C305" s="33">
        <v>1</v>
      </c>
      <c r="D305" s="33">
        <v>0</v>
      </c>
      <c r="E305" s="33">
        <v>0</v>
      </c>
      <c r="F305" s="31">
        <v>0.41666666666666669</v>
      </c>
      <c r="G305" s="31">
        <v>0.91666666666666663</v>
      </c>
    </row>
    <row r="306" spans="2:7">
      <c r="B306" s="2">
        <v>45231</v>
      </c>
      <c r="C306" s="33">
        <v>1</v>
      </c>
      <c r="D306" s="33">
        <v>0</v>
      </c>
      <c r="E306" s="33">
        <v>0</v>
      </c>
      <c r="F306" s="31">
        <v>0.45833333333333331</v>
      </c>
      <c r="G306" s="31">
        <v>0.875</v>
      </c>
    </row>
    <row r="307" spans="2:7">
      <c r="B307" s="2">
        <v>45232</v>
      </c>
      <c r="C307" s="33">
        <v>1</v>
      </c>
      <c r="D307" s="33">
        <v>0</v>
      </c>
      <c r="E307" s="33">
        <v>0</v>
      </c>
      <c r="F307" s="31">
        <v>0.41666666666666669</v>
      </c>
      <c r="G307" s="31">
        <v>0.91666666666666663</v>
      </c>
    </row>
    <row r="308" spans="2:7">
      <c r="B308" s="2">
        <v>45233</v>
      </c>
      <c r="C308" s="33">
        <v>1</v>
      </c>
      <c r="D308" s="33">
        <v>0</v>
      </c>
      <c r="E308" s="33">
        <v>0</v>
      </c>
      <c r="F308" s="31">
        <v>0.41666666666666669</v>
      </c>
      <c r="G308" s="31">
        <v>0.91666666666666663</v>
      </c>
    </row>
    <row r="309" spans="2:7">
      <c r="B309" s="2">
        <v>45234</v>
      </c>
      <c r="C309" s="33">
        <v>1</v>
      </c>
      <c r="D309" s="33">
        <v>0</v>
      </c>
      <c r="E309" s="33">
        <v>0</v>
      </c>
      <c r="F309" s="31">
        <v>0.41666666666666669</v>
      </c>
      <c r="G309" s="31">
        <v>0.91666666666666663</v>
      </c>
    </row>
    <row r="310" spans="2:7">
      <c r="B310" s="2">
        <v>45235</v>
      </c>
      <c r="C310" s="33">
        <v>1</v>
      </c>
      <c r="D310" s="33">
        <v>0</v>
      </c>
      <c r="E310" s="33">
        <v>0</v>
      </c>
      <c r="F310" s="31">
        <v>0.45833333333333331</v>
      </c>
      <c r="G310" s="31">
        <v>0.875</v>
      </c>
    </row>
    <row r="311" spans="2:7">
      <c r="B311" s="2">
        <v>45236</v>
      </c>
      <c r="C311" s="33">
        <v>1</v>
      </c>
      <c r="D311" s="33">
        <v>0</v>
      </c>
      <c r="E311" s="33">
        <v>0</v>
      </c>
      <c r="F311" s="31">
        <v>0.41666666666666669</v>
      </c>
      <c r="G311" s="31">
        <v>0.91666666666666663</v>
      </c>
    </row>
    <row r="312" spans="2:7">
      <c r="B312" s="2">
        <v>45237</v>
      </c>
      <c r="C312" s="33">
        <v>1</v>
      </c>
      <c r="D312" s="33">
        <v>0</v>
      </c>
      <c r="E312" s="33">
        <v>0</v>
      </c>
      <c r="F312" s="31">
        <v>0.41666666666666669</v>
      </c>
      <c r="G312" s="31">
        <v>0.91666666666666663</v>
      </c>
    </row>
    <row r="313" spans="2:7">
      <c r="B313" s="2">
        <v>45238</v>
      </c>
      <c r="C313" s="33">
        <v>1</v>
      </c>
      <c r="D313" s="33">
        <v>0</v>
      </c>
      <c r="E313" s="33">
        <v>0</v>
      </c>
      <c r="F313" s="31">
        <v>0.41666666666666669</v>
      </c>
      <c r="G313" s="31">
        <v>0.91666666666666663</v>
      </c>
    </row>
    <row r="314" spans="2:7">
      <c r="B314" s="2">
        <v>45239</v>
      </c>
      <c r="C314" s="33">
        <v>1</v>
      </c>
      <c r="D314" s="33">
        <v>0</v>
      </c>
      <c r="E314" s="33">
        <v>0</v>
      </c>
      <c r="F314" s="31">
        <v>0.41666666666666669</v>
      </c>
      <c r="G314" s="31">
        <v>0.91666666666666663</v>
      </c>
    </row>
    <row r="315" spans="2:7">
      <c r="B315" s="2">
        <v>45240</v>
      </c>
      <c r="C315" s="33">
        <v>1</v>
      </c>
      <c r="D315" s="33">
        <v>0</v>
      </c>
      <c r="E315" s="33">
        <v>0</v>
      </c>
      <c r="F315" s="31">
        <v>0.41666666666666669</v>
      </c>
      <c r="G315" s="31">
        <v>0.91666666666666663</v>
      </c>
    </row>
    <row r="316" spans="2:7">
      <c r="B316" s="2">
        <v>45241</v>
      </c>
      <c r="C316" s="33">
        <v>1</v>
      </c>
      <c r="D316" s="33">
        <v>0</v>
      </c>
      <c r="E316" s="33">
        <v>0</v>
      </c>
      <c r="F316" s="31">
        <v>0.41666666666666669</v>
      </c>
      <c r="G316" s="31">
        <v>0.91666666666666663</v>
      </c>
    </row>
    <row r="317" spans="2:7">
      <c r="B317" s="2">
        <v>45242</v>
      </c>
      <c r="C317" s="33">
        <v>1</v>
      </c>
      <c r="D317" s="33">
        <v>0</v>
      </c>
      <c r="E317" s="33">
        <v>0</v>
      </c>
      <c r="F317" s="31">
        <v>0.45833333333333331</v>
      </c>
      <c r="G317" s="31">
        <v>0.875</v>
      </c>
    </row>
    <row r="318" spans="2:7">
      <c r="B318" s="2">
        <v>45243</v>
      </c>
      <c r="C318" s="33">
        <v>1</v>
      </c>
      <c r="D318" s="33">
        <v>0</v>
      </c>
      <c r="E318" s="33">
        <v>0</v>
      </c>
      <c r="F318" s="31">
        <v>0.41666666666666669</v>
      </c>
      <c r="G318" s="31">
        <v>0.91666666666666663</v>
      </c>
    </row>
    <row r="319" spans="2:7">
      <c r="B319" s="2">
        <v>45244</v>
      </c>
      <c r="C319" s="33">
        <v>1</v>
      </c>
      <c r="D319" s="33">
        <v>0</v>
      </c>
      <c r="E319" s="33">
        <v>0</v>
      </c>
      <c r="F319" s="31">
        <v>0.41666666666666669</v>
      </c>
      <c r="G319" s="31">
        <v>0.91666666666666663</v>
      </c>
    </row>
    <row r="320" spans="2:7">
      <c r="B320" s="2">
        <v>45245</v>
      </c>
      <c r="C320" s="33">
        <v>1</v>
      </c>
      <c r="D320" s="33">
        <v>0</v>
      </c>
      <c r="E320" s="33">
        <v>0</v>
      </c>
      <c r="F320" s="31">
        <v>0.41666666666666669</v>
      </c>
      <c r="G320" s="31">
        <v>0.91666666666666663</v>
      </c>
    </row>
    <row r="321" spans="2:7">
      <c r="B321" s="2">
        <v>45246</v>
      </c>
      <c r="C321" s="33">
        <v>1</v>
      </c>
      <c r="D321" s="33">
        <v>0</v>
      </c>
      <c r="E321" s="33">
        <v>0</v>
      </c>
      <c r="F321" s="31">
        <v>0.41666666666666669</v>
      </c>
      <c r="G321" s="31">
        <v>0.91666666666666663</v>
      </c>
    </row>
    <row r="322" spans="2:7">
      <c r="B322" s="2">
        <v>45247</v>
      </c>
      <c r="C322" s="33">
        <v>1</v>
      </c>
      <c r="D322" s="33">
        <v>0</v>
      </c>
      <c r="E322" s="33">
        <v>0</v>
      </c>
      <c r="F322" s="31">
        <v>0.41666666666666669</v>
      </c>
      <c r="G322" s="31">
        <v>0.91666666666666663</v>
      </c>
    </row>
    <row r="323" spans="2:7">
      <c r="B323" s="2">
        <v>45248</v>
      </c>
      <c r="C323" s="33">
        <v>1</v>
      </c>
      <c r="D323" s="33">
        <v>0</v>
      </c>
      <c r="E323" s="33">
        <v>0</v>
      </c>
      <c r="F323" s="31">
        <v>0.41666666666666669</v>
      </c>
      <c r="G323" s="31">
        <v>0.91666666666666663</v>
      </c>
    </row>
    <row r="324" spans="2:7">
      <c r="B324" s="2">
        <v>45249</v>
      </c>
      <c r="C324" s="33">
        <v>1</v>
      </c>
      <c r="D324" s="33">
        <v>0</v>
      </c>
      <c r="E324" s="33">
        <v>0</v>
      </c>
      <c r="F324" s="31">
        <v>0.45833333333333331</v>
      </c>
      <c r="G324" s="31">
        <v>0.875</v>
      </c>
    </row>
    <row r="325" spans="2:7">
      <c r="B325" s="2">
        <v>45250</v>
      </c>
      <c r="C325" s="33">
        <v>1</v>
      </c>
      <c r="D325" s="33">
        <v>0</v>
      </c>
      <c r="E325" s="33">
        <v>0</v>
      </c>
      <c r="F325" s="31">
        <v>0.41666666666666669</v>
      </c>
      <c r="G325" s="31">
        <v>0.91666666666666663</v>
      </c>
    </row>
    <row r="326" spans="2:7">
      <c r="B326" s="2">
        <v>45251</v>
      </c>
      <c r="C326" s="33">
        <v>1</v>
      </c>
      <c r="D326" s="33">
        <v>0</v>
      </c>
      <c r="E326" s="33">
        <v>0</v>
      </c>
      <c r="F326" s="31">
        <v>0.41666666666666669</v>
      </c>
      <c r="G326" s="31">
        <v>0.91666666666666663</v>
      </c>
    </row>
    <row r="327" spans="2:7">
      <c r="B327" s="2">
        <v>45252</v>
      </c>
      <c r="C327" s="33">
        <v>1</v>
      </c>
      <c r="D327" s="33">
        <v>0</v>
      </c>
      <c r="E327" s="33">
        <v>0</v>
      </c>
      <c r="F327" s="31">
        <v>0.41666666666666669</v>
      </c>
      <c r="G327" s="31">
        <v>0.91666666666666663</v>
      </c>
    </row>
    <row r="328" spans="2:7">
      <c r="B328" s="2">
        <v>45253</v>
      </c>
      <c r="C328" s="33">
        <v>1</v>
      </c>
      <c r="D328" s="33">
        <v>0</v>
      </c>
      <c r="E328" s="33">
        <v>0</v>
      </c>
      <c r="F328" s="31">
        <v>0.41666666666666669</v>
      </c>
      <c r="G328" s="31">
        <v>0.91666666666666663</v>
      </c>
    </row>
    <row r="329" spans="2:7">
      <c r="B329" s="2">
        <v>45254</v>
      </c>
      <c r="C329" s="33">
        <v>1</v>
      </c>
      <c r="D329" s="33">
        <v>0</v>
      </c>
      <c r="E329" s="33">
        <v>0</v>
      </c>
      <c r="F329" s="31">
        <v>0.41666666666666669</v>
      </c>
      <c r="G329" s="31">
        <v>0.91666666666666663</v>
      </c>
    </row>
    <row r="330" spans="2:7">
      <c r="B330" s="2">
        <v>45255</v>
      </c>
      <c r="C330" s="33">
        <v>1</v>
      </c>
      <c r="D330" s="33">
        <v>0</v>
      </c>
      <c r="E330" s="33">
        <v>0</v>
      </c>
      <c r="F330" s="31">
        <v>0.41666666666666669</v>
      </c>
      <c r="G330" s="31">
        <v>0.91666666666666663</v>
      </c>
    </row>
    <row r="331" spans="2:7">
      <c r="B331" s="2">
        <v>45256</v>
      </c>
      <c r="C331" s="33">
        <v>1</v>
      </c>
      <c r="D331" s="33">
        <v>0</v>
      </c>
      <c r="E331" s="33">
        <v>0</v>
      </c>
      <c r="F331" s="31">
        <v>0.41666666666666669</v>
      </c>
      <c r="G331" s="31">
        <v>0.91666666666666663</v>
      </c>
    </row>
    <row r="332" spans="2:7">
      <c r="B332" s="2">
        <v>45257</v>
      </c>
      <c r="C332" s="33">
        <v>1</v>
      </c>
      <c r="D332" s="33">
        <v>0</v>
      </c>
      <c r="E332" s="33">
        <v>0</v>
      </c>
      <c r="F332" s="31">
        <v>0.41666666666666669</v>
      </c>
      <c r="G332" s="31">
        <v>0.91666666666666663</v>
      </c>
    </row>
    <row r="333" spans="2:7">
      <c r="B333" s="2">
        <v>45258</v>
      </c>
      <c r="C333" s="33">
        <v>1</v>
      </c>
      <c r="D333" s="33">
        <v>0</v>
      </c>
      <c r="E333" s="33">
        <v>0</v>
      </c>
      <c r="F333" s="31">
        <v>0.41666666666666669</v>
      </c>
      <c r="G333" s="31">
        <v>0.91666666666666663</v>
      </c>
    </row>
    <row r="334" spans="2:7">
      <c r="B334" s="2">
        <v>45259</v>
      </c>
      <c r="C334" s="33">
        <v>1</v>
      </c>
      <c r="D334" s="33">
        <v>0</v>
      </c>
      <c r="E334" s="33">
        <v>0</v>
      </c>
      <c r="F334" s="31">
        <v>0.41666666666666669</v>
      </c>
      <c r="G334" s="31">
        <v>0.91666666666666663</v>
      </c>
    </row>
    <row r="335" spans="2:7">
      <c r="B335" s="2">
        <v>45260</v>
      </c>
      <c r="C335" s="33">
        <v>1</v>
      </c>
      <c r="D335" s="33">
        <v>0</v>
      </c>
      <c r="E335" s="33">
        <v>0</v>
      </c>
      <c r="F335" s="31">
        <v>0.41666666666666669</v>
      </c>
      <c r="G335" s="31">
        <v>0.91666666666666663</v>
      </c>
    </row>
    <row r="336" spans="2:7">
      <c r="B336" s="2">
        <v>45261</v>
      </c>
      <c r="C336" s="33">
        <v>1</v>
      </c>
      <c r="D336" s="33">
        <v>0</v>
      </c>
      <c r="E336" s="33">
        <v>0</v>
      </c>
      <c r="F336" s="31">
        <v>0.41666666666666669</v>
      </c>
      <c r="G336" s="31">
        <v>0.91666666666666663</v>
      </c>
    </row>
    <row r="337" spans="2:7">
      <c r="B337" s="2">
        <v>45262</v>
      </c>
      <c r="C337" s="33">
        <v>1</v>
      </c>
      <c r="D337" s="33">
        <v>0</v>
      </c>
      <c r="E337" s="33">
        <v>0</v>
      </c>
      <c r="F337" s="31">
        <v>0.41666666666666669</v>
      </c>
      <c r="G337" s="31">
        <v>0.91666666666666663</v>
      </c>
    </row>
    <row r="338" spans="2:7">
      <c r="B338" s="2">
        <v>45263</v>
      </c>
      <c r="C338" s="33">
        <v>1</v>
      </c>
      <c r="D338" s="33">
        <v>0</v>
      </c>
      <c r="E338" s="33">
        <v>0</v>
      </c>
      <c r="F338" s="31">
        <v>0.41666666666666669</v>
      </c>
      <c r="G338" s="31">
        <v>0.91666666666666663</v>
      </c>
    </row>
    <row r="339" spans="2:7">
      <c r="B339" s="2">
        <v>45264</v>
      </c>
      <c r="C339" s="33">
        <v>1</v>
      </c>
      <c r="D339" s="33">
        <v>0</v>
      </c>
      <c r="E339" s="33">
        <v>0</v>
      </c>
      <c r="F339" s="31">
        <v>0.41666666666666669</v>
      </c>
      <c r="G339" s="31">
        <v>0.91666666666666663</v>
      </c>
    </row>
    <row r="340" spans="2:7">
      <c r="B340" s="2">
        <v>45265</v>
      </c>
      <c r="C340" s="33">
        <v>1</v>
      </c>
      <c r="D340" s="33">
        <v>0</v>
      </c>
      <c r="E340" s="33">
        <v>0</v>
      </c>
      <c r="F340" s="31">
        <v>0.41666666666666669</v>
      </c>
      <c r="G340" s="31">
        <v>0.91666666666666663</v>
      </c>
    </row>
    <row r="341" spans="2:7">
      <c r="B341" s="2">
        <v>45266</v>
      </c>
      <c r="C341" s="33">
        <v>1</v>
      </c>
      <c r="D341" s="33">
        <v>0</v>
      </c>
      <c r="E341" s="33">
        <v>0</v>
      </c>
      <c r="F341" s="31">
        <v>0.41666666666666669</v>
      </c>
      <c r="G341" s="31">
        <v>0.91666666666666663</v>
      </c>
    </row>
    <row r="342" spans="2:7">
      <c r="B342" s="2">
        <v>45267</v>
      </c>
      <c r="C342" s="33">
        <v>1</v>
      </c>
      <c r="D342" s="33">
        <v>0</v>
      </c>
      <c r="E342" s="33">
        <v>0</v>
      </c>
      <c r="F342" s="31">
        <v>0.41666666666666669</v>
      </c>
      <c r="G342" s="31">
        <v>0.91666666666666663</v>
      </c>
    </row>
    <row r="343" spans="2:7">
      <c r="B343" s="2">
        <v>45268</v>
      </c>
      <c r="C343" s="33">
        <v>1</v>
      </c>
      <c r="D343" s="33">
        <v>0</v>
      </c>
      <c r="E343" s="33">
        <v>0</v>
      </c>
      <c r="F343" s="31">
        <v>0.41666666666666669</v>
      </c>
      <c r="G343" s="31">
        <v>0.91666666666666663</v>
      </c>
    </row>
    <row r="344" spans="2:7">
      <c r="B344" s="2">
        <v>45269</v>
      </c>
      <c r="C344" s="33">
        <v>1</v>
      </c>
      <c r="D344" s="33">
        <v>0</v>
      </c>
      <c r="E344" s="33">
        <v>0</v>
      </c>
      <c r="F344" s="31">
        <v>0.41666666666666669</v>
      </c>
      <c r="G344" s="31">
        <v>0.91666666666666663</v>
      </c>
    </row>
    <row r="345" spans="2:7">
      <c r="B345" s="2">
        <v>45270</v>
      </c>
      <c r="C345" s="33">
        <v>1</v>
      </c>
      <c r="D345" s="33">
        <v>0</v>
      </c>
      <c r="E345" s="33">
        <v>0</v>
      </c>
      <c r="F345" s="31">
        <v>0.41666666666666669</v>
      </c>
      <c r="G345" s="31">
        <v>0.91666666666666663</v>
      </c>
    </row>
    <row r="346" spans="2:7">
      <c r="B346" s="2">
        <v>45271</v>
      </c>
      <c r="C346" s="33">
        <v>1</v>
      </c>
      <c r="D346" s="33">
        <v>0</v>
      </c>
      <c r="E346" s="33">
        <v>0</v>
      </c>
      <c r="F346" s="31">
        <v>0.41666666666666669</v>
      </c>
      <c r="G346" s="31">
        <v>0.91666666666666663</v>
      </c>
    </row>
    <row r="347" spans="2:7">
      <c r="B347" s="2">
        <v>45272</v>
      </c>
      <c r="C347" s="33">
        <v>1</v>
      </c>
      <c r="D347" s="33">
        <v>0</v>
      </c>
      <c r="E347" s="33">
        <v>0</v>
      </c>
      <c r="F347" s="31">
        <v>0.41666666666666669</v>
      </c>
      <c r="G347" s="31">
        <v>0.91666666666666663</v>
      </c>
    </row>
    <row r="348" spans="2:7">
      <c r="B348" s="2">
        <v>45273</v>
      </c>
      <c r="C348" s="33">
        <v>1</v>
      </c>
      <c r="D348" s="33">
        <v>0</v>
      </c>
      <c r="E348" s="33">
        <v>0</v>
      </c>
      <c r="F348" s="31">
        <v>0.41666666666666669</v>
      </c>
      <c r="G348" s="31">
        <v>0.91666666666666663</v>
      </c>
    </row>
    <row r="349" spans="2:7">
      <c r="B349" s="2">
        <v>45274</v>
      </c>
      <c r="C349" s="33">
        <v>1</v>
      </c>
      <c r="D349" s="33">
        <v>0</v>
      </c>
      <c r="E349" s="33">
        <v>0</v>
      </c>
      <c r="F349" s="31">
        <v>0.41666666666666669</v>
      </c>
      <c r="G349" s="31">
        <v>0.91666666666666663</v>
      </c>
    </row>
    <row r="350" spans="2:7">
      <c r="B350" s="2">
        <v>45275</v>
      </c>
      <c r="C350" s="33">
        <v>1</v>
      </c>
      <c r="D350" s="33">
        <v>0</v>
      </c>
      <c r="E350" s="33">
        <v>0</v>
      </c>
      <c r="F350" s="31">
        <v>0.41666666666666669</v>
      </c>
      <c r="G350" s="31">
        <v>0.91666666666666663</v>
      </c>
    </row>
    <row r="351" spans="2:7">
      <c r="B351" s="2">
        <v>45276</v>
      </c>
      <c r="C351" s="33">
        <v>1</v>
      </c>
      <c r="D351" s="33">
        <v>0</v>
      </c>
      <c r="E351" s="33">
        <v>0</v>
      </c>
      <c r="F351" s="31">
        <v>0.41666666666666669</v>
      </c>
      <c r="G351" s="31">
        <v>0.91666666666666663</v>
      </c>
    </row>
    <row r="352" spans="2:7">
      <c r="B352" s="2">
        <v>45277</v>
      </c>
      <c r="C352" s="33">
        <v>1</v>
      </c>
      <c r="D352" s="33">
        <v>0</v>
      </c>
      <c r="E352" s="33">
        <v>0</v>
      </c>
      <c r="F352" s="31">
        <v>0.41666666666666669</v>
      </c>
      <c r="G352" s="31">
        <v>0.91666666666666663</v>
      </c>
    </row>
    <row r="353" spans="2:7">
      <c r="B353" s="2">
        <v>45278</v>
      </c>
      <c r="C353" s="33">
        <v>1</v>
      </c>
      <c r="D353" s="33">
        <v>0</v>
      </c>
      <c r="E353" s="33">
        <v>0</v>
      </c>
      <c r="F353" s="31">
        <v>0.41666666666666669</v>
      </c>
      <c r="G353" s="31">
        <v>0.91666666666666663</v>
      </c>
    </row>
    <row r="354" spans="2:7">
      <c r="B354" s="2">
        <v>45279</v>
      </c>
      <c r="C354" s="33">
        <v>1</v>
      </c>
      <c r="D354" s="33">
        <v>0</v>
      </c>
      <c r="E354" s="33">
        <v>0</v>
      </c>
      <c r="F354" s="31">
        <v>0.41666666666666669</v>
      </c>
      <c r="G354" s="31">
        <v>0.91666666666666663</v>
      </c>
    </row>
    <row r="355" spans="2:7">
      <c r="B355" s="2">
        <v>45280</v>
      </c>
      <c r="C355" s="33">
        <v>1</v>
      </c>
      <c r="D355" s="33">
        <v>0</v>
      </c>
      <c r="E355" s="33">
        <v>0</v>
      </c>
      <c r="F355" s="31">
        <v>0.41666666666666669</v>
      </c>
      <c r="G355" s="31">
        <v>0.91666666666666663</v>
      </c>
    </row>
    <row r="356" spans="2:7">
      <c r="B356" s="2">
        <v>45281</v>
      </c>
      <c r="C356" s="33">
        <v>1</v>
      </c>
      <c r="D356" s="33">
        <v>0</v>
      </c>
      <c r="E356" s="33">
        <v>0</v>
      </c>
      <c r="F356" s="31">
        <v>0.41666666666666669</v>
      </c>
      <c r="G356" s="31">
        <v>0.91666666666666663</v>
      </c>
    </row>
    <row r="357" spans="2:7">
      <c r="B357" s="2">
        <v>45282</v>
      </c>
      <c r="C357" s="33">
        <v>1</v>
      </c>
      <c r="D357" s="33">
        <v>0</v>
      </c>
      <c r="E357" s="33">
        <v>0</v>
      </c>
      <c r="F357" s="31">
        <v>0.41666666666666669</v>
      </c>
      <c r="G357" s="31">
        <v>0.91666666666666663</v>
      </c>
    </row>
    <row r="358" spans="2:7">
      <c r="B358" s="2">
        <v>45283</v>
      </c>
      <c r="C358" s="33">
        <v>1</v>
      </c>
      <c r="D358" s="33">
        <v>0</v>
      </c>
      <c r="E358" s="33">
        <v>0</v>
      </c>
      <c r="F358" s="31">
        <v>0.41666666666666669</v>
      </c>
      <c r="G358" s="31">
        <v>0.91666666666666663</v>
      </c>
    </row>
    <row r="359" spans="2:7">
      <c r="B359" s="2">
        <v>45284</v>
      </c>
      <c r="C359" s="33">
        <v>1</v>
      </c>
      <c r="D359" s="33">
        <v>0</v>
      </c>
      <c r="E359" s="33">
        <v>0</v>
      </c>
      <c r="F359" s="31">
        <v>0.41666666666666669</v>
      </c>
      <c r="G359" s="31">
        <v>0.91666666666666663</v>
      </c>
    </row>
    <row r="360" spans="2:7">
      <c r="B360" s="2">
        <v>45285</v>
      </c>
      <c r="C360" s="33">
        <v>0</v>
      </c>
      <c r="D360" s="33">
        <v>1</v>
      </c>
      <c r="E360" s="33">
        <v>0</v>
      </c>
    </row>
    <row r="361" spans="2:7">
      <c r="B361" s="2">
        <v>45286</v>
      </c>
      <c r="C361" s="33">
        <v>1</v>
      </c>
      <c r="D361" s="33">
        <v>0</v>
      </c>
      <c r="E361" s="33">
        <v>1</v>
      </c>
      <c r="F361" s="31">
        <v>0.41666666666666669</v>
      </c>
      <c r="G361" s="31">
        <v>0.91666666666666663</v>
      </c>
    </row>
    <row r="362" spans="2:7">
      <c r="B362" s="2">
        <v>45287</v>
      </c>
      <c r="C362" s="33">
        <v>1</v>
      </c>
      <c r="D362" s="33">
        <v>0</v>
      </c>
      <c r="E362" s="33">
        <v>0</v>
      </c>
      <c r="F362" s="31">
        <v>0.41666666666666669</v>
      </c>
      <c r="G362" s="31">
        <v>0.91666666666666663</v>
      </c>
    </row>
    <row r="363" spans="2:7">
      <c r="B363" s="2">
        <v>45288</v>
      </c>
      <c r="C363" s="33">
        <v>1</v>
      </c>
      <c r="D363" s="33">
        <v>0</v>
      </c>
      <c r="E363" s="33">
        <v>0</v>
      </c>
      <c r="F363" s="31">
        <v>0.41666666666666669</v>
      </c>
      <c r="G363" s="31">
        <v>0.91666666666666663</v>
      </c>
    </row>
    <row r="364" spans="2:7">
      <c r="B364" s="2">
        <v>45289</v>
      </c>
      <c r="C364" s="33">
        <v>1</v>
      </c>
      <c r="D364" s="33">
        <v>0</v>
      </c>
      <c r="E364" s="33">
        <v>0</v>
      </c>
      <c r="F364" s="31">
        <v>0.41666666666666669</v>
      </c>
      <c r="G364" s="31">
        <v>0.91666666666666663</v>
      </c>
    </row>
    <row r="365" spans="2:7">
      <c r="B365" s="2">
        <v>45290</v>
      </c>
      <c r="C365" s="33">
        <v>1</v>
      </c>
      <c r="D365" s="33">
        <v>0</v>
      </c>
      <c r="E365" s="33">
        <v>0</v>
      </c>
      <c r="F365" s="31">
        <v>0.41666666666666669</v>
      </c>
      <c r="G365" s="31">
        <v>0.91666666666666663</v>
      </c>
    </row>
    <row r="366" spans="2:7">
      <c r="B366" s="2">
        <v>45291</v>
      </c>
      <c r="C366" s="33">
        <v>1</v>
      </c>
      <c r="D366" s="33">
        <v>0</v>
      </c>
      <c r="E366" s="33">
        <v>0</v>
      </c>
      <c r="F366" s="31">
        <v>0.41666666666666669</v>
      </c>
      <c r="G366" s="31">
        <v>0.91666666666666663</v>
      </c>
    </row>
    <row r="367" spans="2:7">
      <c r="B367" s="2">
        <v>45292</v>
      </c>
      <c r="C367" s="33">
        <v>0</v>
      </c>
      <c r="D367" s="33">
        <v>1</v>
      </c>
      <c r="E367" s="33">
        <v>0</v>
      </c>
    </row>
    <row r="368" spans="2:7">
      <c r="B368" s="2">
        <v>45293</v>
      </c>
      <c r="C368" s="33">
        <v>1</v>
      </c>
      <c r="D368" s="33">
        <v>0</v>
      </c>
      <c r="E368" s="33">
        <v>1</v>
      </c>
      <c r="F368" s="31">
        <v>0.41666666666666669</v>
      </c>
      <c r="G368" s="31">
        <v>0.91666666666666663</v>
      </c>
    </row>
    <row r="369" spans="2:7">
      <c r="B369" s="2">
        <v>45294</v>
      </c>
      <c r="C369" s="33">
        <v>1</v>
      </c>
      <c r="D369" s="33">
        <v>0</v>
      </c>
      <c r="E369" s="33">
        <v>0</v>
      </c>
      <c r="F369" s="31">
        <v>0.41666666666666669</v>
      </c>
      <c r="G369" s="31">
        <v>0.91666666666666663</v>
      </c>
    </row>
    <row r="370" spans="2:7">
      <c r="B370" s="2">
        <v>45295</v>
      </c>
      <c r="C370" s="33">
        <v>1</v>
      </c>
      <c r="D370" s="33">
        <v>0</v>
      </c>
      <c r="E370" s="33">
        <v>0</v>
      </c>
      <c r="F370" s="31">
        <v>0.41666666666666669</v>
      </c>
      <c r="G370" s="31">
        <v>0.91666666666666663</v>
      </c>
    </row>
    <row r="371" spans="2:7">
      <c r="B371" s="2">
        <v>45296</v>
      </c>
      <c r="C371" s="33">
        <v>1</v>
      </c>
      <c r="D371" s="33">
        <v>0</v>
      </c>
      <c r="E371" s="33">
        <v>0</v>
      </c>
      <c r="F371" s="31">
        <v>0.41666666666666669</v>
      </c>
      <c r="G371" s="31">
        <v>0.91666666666666663</v>
      </c>
    </row>
    <row r="372" spans="2:7">
      <c r="B372" s="2">
        <v>45297</v>
      </c>
      <c r="C372" s="33">
        <v>0</v>
      </c>
      <c r="D372" s="33">
        <v>1</v>
      </c>
      <c r="E372" s="33">
        <v>0</v>
      </c>
    </row>
    <row r="373" spans="2:7">
      <c r="B373" s="2">
        <v>45298</v>
      </c>
      <c r="C373" s="33">
        <v>1</v>
      </c>
      <c r="D373" s="33">
        <v>0</v>
      </c>
      <c r="E373" s="33">
        <v>1</v>
      </c>
      <c r="F373" s="31">
        <v>0.41666666666666669</v>
      </c>
      <c r="G373" s="31">
        <v>0.91666666666666663</v>
      </c>
    </row>
    <row r="374" spans="2:7">
      <c r="B374" s="2">
        <v>45299</v>
      </c>
      <c r="C374" s="33">
        <v>1</v>
      </c>
      <c r="D374" s="33">
        <v>0</v>
      </c>
      <c r="E374" s="33">
        <v>0</v>
      </c>
      <c r="F374" s="31">
        <v>0.41666666666666669</v>
      </c>
      <c r="G374" s="31">
        <v>0.91666666666666663</v>
      </c>
    </row>
    <row r="375" spans="2:7">
      <c r="B375" s="2">
        <v>45300</v>
      </c>
      <c r="C375" s="33">
        <v>1</v>
      </c>
      <c r="D375" s="33">
        <v>0</v>
      </c>
      <c r="E375" s="33">
        <v>0</v>
      </c>
      <c r="F375" s="31">
        <v>0.41666666666666669</v>
      </c>
      <c r="G375" s="31">
        <v>0.91666666666666663</v>
      </c>
    </row>
    <row r="376" spans="2:7">
      <c r="B376" s="2">
        <v>45301</v>
      </c>
      <c r="C376" s="33">
        <v>1</v>
      </c>
      <c r="D376" s="33">
        <v>0</v>
      </c>
      <c r="E376" s="33">
        <v>0</v>
      </c>
      <c r="F376" s="31">
        <v>0.41666666666666669</v>
      </c>
      <c r="G376" s="31">
        <v>0.91666666666666663</v>
      </c>
    </row>
    <row r="377" spans="2:7">
      <c r="B377" s="2">
        <v>45302</v>
      </c>
      <c r="C377" s="33">
        <v>1</v>
      </c>
      <c r="D377" s="33">
        <v>0</v>
      </c>
      <c r="E377" s="33">
        <v>0</v>
      </c>
      <c r="F377" s="31">
        <v>0.41666666666666669</v>
      </c>
      <c r="G377" s="31">
        <v>0.91666666666666663</v>
      </c>
    </row>
    <row r="378" spans="2:7">
      <c r="B378" s="2">
        <v>45303</v>
      </c>
      <c r="C378" s="33">
        <v>1</v>
      </c>
      <c r="D378" s="33">
        <v>0</v>
      </c>
      <c r="E378" s="33">
        <v>0</v>
      </c>
      <c r="F378" s="31">
        <v>0.41666666666666669</v>
      </c>
      <c r="G378" s="31">
        <v>0.91666666666666663</v>
      </c>
    </row>
    <row r="379" spans="2:7">
      <c r="B379" s="2">
        <v>45304</v>
      </c>
      <c r="C379" s="33">
        <v>1</v>
      </c>
      <c r="D379" s="33">
        <v>0</v>
      </c>
      <c r="E379" s="33">
        <v>0</v>
      </c>
      <c r="F379" s="31">
        <v>0.41666666666666669</v>
      </c>
      <c r="G379" s="31">
        <v>0.91666666666666663</v>
      </c>
    </row>
    <row r="380" spans="2:7">
      <c r="B380" s="2">
        <v>45305</v>
      </c>
      <c r="C380" s="33">
        <v>1</v>
      </c>
      <c r="D380" s="33">
        <v>0</v>
      </c>
      <c r="E380" s="33">
        <v>0</v>
      </c>
      <c r="F380" s="31">
        <v>0.41666666666666669</v>
      </c>
      <c r="G380" s="31">
        <v>0.91666666666666663</v>
      </c>
    </row>
    <row r="381" spans="2:7">
      <c r="B381" s="2">
        <v>45306</v>
      </c>
      <c r="C381" s="33">
        <v>1</v>
      </c>
      <c r="D381" s="33">
        <v>0</v>
      </c>
      <c r="E381" s="33">
        <v>0</v>
      </c>
      <c r="F381" s="31">
        <v>0.41666666666666669</v>
      </c>
      <c r="G381" s="31">
        <v>0.91666666666666663</v>
      </c>
    </row>
    <row r="382" spans="2:7">
      <c r="B382" s="2">
        <v>45307</v>
      </c>
      <c r="C382" s="33">
        <v>1</v>
      </c>
      <c r="D382" s="33">
        <v>0</v>
      </c>
      <c r="E382" s="33">
        <v>0</v>
      </c>
      <c r="F382" s="31">
        <v>0.41666666666666669</v>
      </c>
      <c r="G382" s="31">
        <v>0.91666666666666663</v>
      </c>
    </row>
    <row r="383" spans="2:7">
      <c r="B383" s="2">
        <v>45308</v>
      </c>
      <c r="C383" s="33">
        <v>1</v>
      </c>
      <c r="D383" s="33">
        <v>0</v>
      </c>
      <c r="E383" s="33">
        <v>0</v>
      </c>
      <c r="F383" s="31">
        <v>0.41666666666666669</v>
      </c>
      <c r="G383" s="31">
        <v>0.91666666666666663</v>
      </c>
    </row>
    <row r="384" spans="2:7">
      <c r="B384" s="2">
        <v>45309</v>
      </c>
      <c r="C384" s="33">
        <v>1</v>
      </c>
      <c r="D384" s="33">
        <v>0</v>
      </c>
      <c r="E384" s="33">
        <v>0</v>
      </c>
      <c r="F384" s="31">
        <v>0.41666666666666669</v>
      </c>
      <c r="G384" s="31">
        <v>0.91666666666666663</v>
      </c>
    </row>
    <row r="385" spans="2:7">
      <c r="B385" s="2">
        <v>45310</v>
      </c>
      <c r="C385" s="33">
        <v>1</v>
      </c>
      <c r="D385" s="33">
        <v>0</v>
      </c>
      <c r="E385" s="33">
        <v>0</v>
      </c>
      <c r="F385" s="31">
        <v>0.41666666666666669</v>
      </c>
      <c r="G385" s="31">
        <v>0.91666666666666663</v>
      </c>
    </row>
    <row r="386" spans="2:7">
      <c r="B386" s="2">
        <v>45311</v>
      </c>
      <c r="C386" s="33">
        <v>1</v>
      </c>
      <c r="D386" s="33">
        <v>0</v>
      </c>
      <c r="E386" s="33">
        <v>0</v>
      </c>
      <c r="F386" s="31">
        <v>0.41666666666666669</v>
      </c>
      <c r="G386" s="31">
        <v>0.91666666666666663</v>
      </c>
    </row>
    <row r="387" spans="2:7">
      <c r="B387" s="2">
        <v>45312</v>
      </c>
      <c r="C387" s="33">
        <v>0</v>
      </c>
      <c r="D387" s="33">
        <v>1</v>
      </c>
      <c r="E387" s="33">
        <v>0</v>
      </c>
    </row>
    <row r="388" spans="2:7">
      <c r="B388" s="2">
        <v>45313</v>
      </c>
      <c r="C388" s="33">
        <v>0</v>
      </c>
      <c r="D388" s="33">
        <v>0</v>
      </c>
      <c r="E388" s="33">
        <v>1</v>
      </c>
    </row>
    <row r="389" spans="2:7">
      <c r="B389" s="2">
        <v>45314</v>
      </c>
      <c r="C389" s="33">
        <v>1</v>
      </c>
      <c r="D389" s="33">
        <v>0</v>
      </c>
      <c r="E389" s="33">
        <v>0</v>
      </c>
      <c r="F389" s="31">
        <v>0.41666666666666669</v>
      </c>
      <c r="G389" s="31">
        <v>0.91666666666666663</v>
      </c>
    </row>
    <row r="390" spans="2:7">
      <c r="B390" s="2">
        <v>45315</v>
      </c>
      <c r="C390" s="33">
        <v>1</v>
      </c>
      <c r="D390" s="33">
        <v>0</v>
      </c>
      <c r="E390" s="33">
        <v>0</v>
      </c>
      <c r="F390" s="31">
        <v>0.41666666666666669</v>
      </c>
      <c r="G390" s="31">
        <v>0.91666666666666663</v>
      </c>
    </row>
    <row r="391" spans="2:7">
      <c r="B391" s="2">
        <v>45316</v>
      </c>
      <c r="C391" s="33">
        <v>1</v>
      </c>
      <c r="D391" s="33">
        <v>0</v>
      </c>
      <c r="E391" s="33">
        <v>0</v>
      </c>
      <c r="F391" s="31">
        <v>0.41666666666666669</v>
      </c>
      <c r="G391" s="31">
        <v>0.91666666666666663</v>
      </c>
    </row>
    <row r="392" spans="2:7">
      <c r="B392" s="2">
        <v>45317</v>
      </c>
      <c r="C392" s="33">
        <v>1</v>
      </c>
      <c r="D392" s="33">
        <v>0</v>
      </c>
      <c r="E392" s="33">
        <v>0</v>
      </c>
      <c r="F392" s="31">
        <v>0.41666666666666669</v>
      </c>
      <c r="G392" s="31">
        <v>0.91666666666666663</v>
      </c>
    </row>
    <row r="393" spans="2:7">
      <c r="B393" s="2">
        <v>45318</v>
      </c>
      <c r="C393" s="33">
        <v>1</v>
      </c>
      <c r="D393" s="33">
        <v>0</v>
      </c>
      <c r="E393" s="33">
        <v>0</v>
      </c>
      <c r="F393" s="31">
        <v>0.41666666666666669</v>
      </c>
      <c r="G393" s="31">
        <v>0.91666666666666663</v>
      </c>
    </row>
    <row r="394" spans="2:7">
      <c r="B394" s="2">
        <v>45319</v>
      </c>
      <c r="C394" s="33">
        <v>0</v>
      </c>
      <c r="D394" s="33">
        <v>1</v>
      </c>
      <c r="E394" s="33">
        <v>0</v>
      </c>
    </row>
    <row r="395" spans="2:7">
      <c r="B395" s="2">
        <v>45320</v>
      </c>
      <c r="C395" s="33">
        <v>1</v>
      </c>
      <c r="D395" s="33">
        <v>0</v>
      </c>
      <c r="E395" s="33">
        <v>1</v>
      </c>
      <c r="F395" s="31">
        <v>0.41666666666666669</v>
      </c>
      <c r="G395" s="31">
        <v>0.91666666666666663</v>
      </c>
    </row>
    <row r="396" spans="2:7">
      <c r="B396" s="2">
        <v>45321</v>
      </c>
      <c r="C396" s="33">
        <v>1</v>
      </c>
      <c r="D396" s="33">
        <v>0</v>
      </c>
      <c r="E396" s="33">
        <v>0</v>
      </c>
      <c r="F396" s="31">
        <v>0.41666666666666669</v>
      </c>
      <c r="G396" s="31">
        <v>0.91666666666666663</v>
      </c>
    </row>
    <row r="397" spans="2:7">
      <c r="B397" s="2">
        <v>45322</v>
      </c>
      <c r="C397" s="33">
        <v>1</v>
      </c>
      <c r="D397" s="33">
        <v>0</v>
      </c>
      <c r="E397" s="33">
        <v>0</v>
      </c>
      <c r="F397" s="31">
        <v>0.41666666666666669</v>
      </c>
      <c r="G397" s="31">
        <v>0.91666666666666663</v>
      </c>
    </row>
    <row r="398" spans="2:7">
      <c r="B398" s="2">
        <v>45323</v>
      </c>
      <c r="C398" s="33">
        <v>1</v>
      </c>
      <c r="D398" s="33">
        <v>0</v>
      </c>
      <c r="E398" s="33">
        <v>0</v>
      </c>
      <c r="F398" s="31">
        <v>0.41666666666666669</v>
      </c>
      <c r="G398" s="31">
        <v>0.91666666666666663</v>
      </c>
    </row>
    <row r="399" spans="2:7">
      <c r="B399" s="2">
        <v>45324</v>
      </c>
      <c r="C399" s="33">
        <v>1</v>
      </c>
      <c r="D399" s="33">
        <v>0</v>
      </c>
      <c r="E399" s="33">
        <v>0</v>
      </c>
      <c r="F399" s="31">
        <v>0.41666666666666669</v>
      </c>
      <c r="G399" s="31">
        <v>0.91666666666666663</v>
      </c>
    </row>
    <row r="400" spans="2:7">
      <c r="B400" s="2">
        <v>45325</v>
      </c>
      <c r="C400" s="33">
        <v>1</v>
      </c>
      <c r="D400" s="33">
        <v>0</v>
      </c>
      <c r="E400" s="33">
        <v>0</v>
      </c>
      <c r="F400" s="31">
        <v>0.41666666666666669</v>
      </c>
      <c r="G400" s="31">
        <v>0.91666666666666663</v>
      </c>
    </row>
    <row r="401" spans="2:7">
      <c r="B401" s="2">
        <v>45326</v>
      </c>
      <c r="C401" s="33">
        <v>0</v>
      </c>
      <c r="D401" s="33">
        <v>1</v>
      </c>
      <c r="E401" s="33">
        <v>0</v>
      </c>
    </row>
    <row r="402" spans="2:7">
      <c r="B402" s="2">
        <v>45327</v>
      </c>
      <c r="C402" s="33">
        <v>1</v>
      </c>
      <c r="D402" s="33">
        <v>0</v>
      </c>
      <c r="E402" s="33">
        <v>1</v>
      </c>
      <c r="F402" s="31">
        <v>0.41666666666666669</v>
      </c>
      <c r="G402" s="31">
        <v>0.91666666666666663</v>
      </c>
    </row>
    <row r="403" spans="2:7">
      <c r="B403" s="2">
        <v>45328</v>
      </c>
      <c r="C403" s="33">
        <v>1</v>
      </c>
      <c r="D403" s="33">
        <v>0</v>
      </c>
      <c r="E403" s="33">
        <v>0</v>
      </c>
      <c r="F403" s="31">
        <v>0.41666666666666669</v>
      </c>
      <c r="G403" s="31">
        <v>0.91666666666666663</v>
      </c>
    </row>
    <row r="404" spans="2:7">
      <c r="B404" s="2">
        <v>45329</v>
      </c>
      <c r="C404" s="33">
        <v>1</v>
      </c>
      <c r="D404" s="33">
        <v>0</v>
      </c>
      <c r="E404" s="33">
        <v>0</v>
      </c>
      <c r="F404" s="31">
        <v>0.41666666666666669</v>
      </c>
      <c r="G404" s="31">
        <v>0.91666666666666663</v>
      </c>
    </row>
    <row r="405" spans="2:7">
      <c r="B405" s="2">
        <v>45330</v>
      </c>
      <c r="C405" s="33">
        <v>1</v>
      </c>
      <c r="D405" s="33">
        <v>0</v>
      </c>
      <c r="E405" s="33">
        <v>0</v>
      </c>
      <c r="F405" s="31">
        <v>0.41666666666666669</v>
      </c>
      <c r="G405" s="31">
        <v>0.91666666666666663</v>
      </c>
    </row>
    <row r="406" spans="2:7">
      <c r="B406" s="2">
        <v>45331</v>
      </c>
      <c r="C406" s="33">
        <v>1</v>
      </c>
      <c r="D406" s="33">
        <v>0</v>
      </c>
      <c r="E406" s="33">
        <v>0</v>
      </c>
      <c r="F406" s="31">
        <v>0.41666666666666669</v>
      </c>
      <c r="G406" s="31">
        <v>0.91666666666666663</v>
      </c>
    </row>
    <row r="407" spans="2:7">
      <c r="B407" s="2">
        <v>45332</v>
      </c>
      <c r="C407" s="33">
        <v>1</v>
      </c>
      <c r="D407" s="33">
        <v>0</v>
      </c>
      <c r="E407" s="33">
        <v>0</v>
      </c>
      <c r="F407" s="31">
        <v>0.41666666666666669</v>
      </c>
      <c r="G407" s="31">
        <v>0.91666666666666663</v>
      </c>
    </row>
    <row r="408" spans="2:7">
      <c r="B408" s="2">
        <v>45333</v>
      </c>
      <c r="C408" s="33">
        <v>0</v>
      </c>
      <c r="D408" s="33">
        <v>1</v>
      </c>
      <c r="E408" s="33">
        <v>0</v>
      </c>
    </row>
    <row r="409" spans="2:7">
      <c r="B409" s="2">
        <v>45334</v>
      </c>
      <c r="C409" s="33">
        <v>1</v>
      </c>
      <c r="D409" s="33">
        <v>0</v>
      </c>
      <c r="E409" s="33">
        <v>1</v>
      </c>
      <c r="F409" s="31">
        <v>0.41666666666666669</v>
      </c>
      <c r="G409" s="31">
        <v>0.91666666666666663</v>
      </c>
    </row>
    <row r="410" spans="2:7">
      <c r="B410" s="2">
        <v>45335</v>
      </c>
      <c r="C410" s="33">
        <v>1</v>
      </c>
      <c r="D410" s="33">
        <v>0</v>
      </c>
      <c r="E410" s="33">
        <v>0</v>
      </c>
      <c r="F410" s="31">
        <v>0.41666666666666669</v>
      </c>
      <c r="G410" s="31">
        <v>0.91666666666666663</v>
      </c>
    </row>
    <row r="411" spans="2:7">
      <c r="B411" s="2">
        <v>45336</v>
      </c>
      <c r="C411" s="33">
        <v>1</v>
      </c>
      <c r="D411" s="33">
        <v>0</v>
      </c>
      <c r="E411" s="33">
        <v>0</v>
      </c>
      <c r="F411" s="31">
        <v>0.41666666666666669</v>
      </c>
      <c r="G411" s="31">
        <v>0.91666666666666663</v>
      </c>
    </row>
    <row r="412" spans="2:7">
      <c r="B412" s="2">
        <v>45337</v>
      </c>
      <c r="C412" s="33">
        <v>1</v>
      </c>
      <c r="D412" s="33">
        <v>0</v>
      </c>
      <c r="E412" s="33">
        <v>0</v>
      </c>
      <c r="F412" s="31">
        <v>0.41666666666666669</v>
      </c>
      <c r="G412" s="31">
        <v>0.91666666666666663</v>
      </c>
    </row>
    <row r="413" spans="2:7">
      <c r="B413" s="2">
        <v>45338</v>
      </c>
      <c r="C413" s="33">
        <v>1</v>
      </c>
      <c r="D413" s="33">
        <v>0</v>
      </c>
      <c r="E413" s="33">
        <v>0</v>
      </c>
      <c r="F413" s="31">
        <v>0.41666666666666669</v>
      </c>
      <c r="G413" s="31">
        <v>0.91666666666666663</v>
      </c>
    </row>
    <row r="414" spans="2:7">
      <c r="B414" s="2">
        <v>45339</v>
      </c>
      <c r="C414" s="33">
        <v>1</v>
      </c>
      <c r="D414" s="33">
        <v>0</v>
      </c>
      <c r="E414" s="33">
        <v>0</v>
      </c>
      <c r="F414" s="31">
        <v>0.41666666666666669</v>
      </c>
      <c r="G414" s="31">
        <v>0.91666666666666663</v>
      </c>
    </row>
    <row r="415" spans="2:7">
      <c r="B415" s="2">
        <v>45340</v>
      </c>
      <c r="C415" s="33">
        <v>0</v>
      </c>
      <c r="D415" s="33">
        <v>1</v>
      </c>
      <c r="E415" s="33">
        <v>0</v>
      </c>
    </row>
    <row r="416" spans="2:7">
      <c r="B416" s="2">
        <v>45341</v>
      </c>
      <c r="C416" s="33">
        <v>1</v>
      </c>
      <c r="D416" s="33">
        <v>0</v>
      </c>
      <c r="E416" s="33">
        <v>1</v>
      </c>
      <c r="F416" s="31">
        <v>0.41666666666666669</v>
      </c>
      <c r="G416" s="31">
        <v>0.91666666666666663</v>
      </c>
    </row>
    <row r="417" spans="2:7">
      <c r="B417" s="2">
        <v>45342</v>
      </c>
      <c r="C417" s="33">
        <v>1</v>
      </c>
      <c r="D417" s="33">
        <v>0</v>
      </c>
      <c r="E417" s="33">
        <v>0</v>
      </c>
      <c r="F417" s="31">
        <v>0.41666666666666669</v>
      </c>
      <c r="G417" s="31">
        <v>0.91666666666666663</v>
      </c>
    </row>
    <row r="418" spans="2:7">
      <c r="B418" s="2">
        <v>45343</v>
      </c>
      <c r="C418" s="33">
        <v>1</v>
      </c>
      <c r="D418" s="33">
        <v>0</v>
      </c>
      <c r="E418" s="33">
        <v>0</v>
      </c>
      <c r="F418" s="31">
        <v>0.41666666666666669</v>
      </c>
      <c r="G418" s="31">
        <v>0.91666666666666663</v>
      </c>
    </row>
    <row r="419" spans="2:7">
      <c r="B419" s="2">
        <v>45344</v>
      </c>
      <c r="C419" s="33">
        <v>1</v>
      </c>
      <c r="D419" s="33">
        <v>0</v>
      </c>
      <c r="E419" s="33">
        <v>0</v>
      </c>
      <c r="F419" s="31">
        <v>0.41666666666666669</v>
      </c>
      <c r="G419" s="31">
        <v>0.91666666666666663</v>
      </c>
    </row>
    <row r="420" spans="2:7">
      <c r="B420" s="2">
        <v>45345</v>
      </c>
      <c r="C420" s="33">
        <v>1</v>
      </c>
      <c r="D420" s="33">
        <v>0</v>
      </c>
      <c r="E420" s="33">
        <v>0</v>
      </c>
      <c r="F420" s="31">
        <v>0.41666666666666669</v>
      </c>
      <c r="G420" s="31">
        <v>0.91666666666666663</v>
      </c>
    </row>
    <row r="421" spans="2:7">
      <c r="B421" s="2">
        <v>45346</v>
      </c>
      <c r="C421" s="33">
        <v>1</v>
      </c>
      <c r="D421" s="33">
        <v>0</v>
      </c>
      <c r="E421" s="33">
        <v>0</v>
      </c>
      <c r="F421" s="31">
        <v>0.41666666666666669</v>
      </c>
      <c r="G421" s="31">
        <v>0.91666666666666663</v>
      </c>
    </row>
    <row r="422" spans="2:7">
      <c r="B422" s="2">
        <v>45347</v>
      </c>
      <c r="C422" s="33">
        <v>0</v>
      </c>
      <c r="D422" s="33">
        <v>1</v>
      </c>
      <c r="E422" s="33">
        <v>0</v>
      </c>
    </row>
    <row r="423" spans="2:7">
      <c r="B423" s="2">
        <v>45348</v>
      </c>
      <c r="C423" s="33">
        <v>1</v>
      </c>
      <c r="D423" s="33">
        <v>0</v>
      </c>
      <c r="E423" s="33">
        <v>1</v>
      </c>
      <c r="F423" s="31">
        <v>0.41666666666666669</v>
      </c>
      <c r="G423" s="31">
        <v>0.91666666666666663</v>
      </c>
    </row>
    <row r="424" spans="2:7">
      <c r="B424" s="2">
        <v>45349</v>
      </c>
      <c r="C424" s="33">
        <v>1</v>
      </c>
      <c r="D424" s="33">
        <v>0</v>
      </c>
      <c r="E424" s="33">
        <v>0</v>
      </c>
      <c r="F424" s="31">
        <v>0.41666666666666669</v>
      </c>
      <c r="G424" s="31">
        <v>0.91666666666666663</v>
      </c>
    </row>
    <row r="425" spans="2:7">
      <c r="B425" s="2">
        <v>45350</v>
      </c>
      <c r="C425" s="33">
        <v>1</v>
      </c>
      <c r="D425" s="33">
        <v>0</v>
      </c>
      <c r="E425" s="33">
        <v>0</v>
      </c>
      <c r="F425" s="31">
        <v>0.41666666666666669</v>
      </c>
      <c r="G425" s="31">
        <v>0.91666666666666663</v>
      </c>
    </row>
    <row r="426" spans="2:7">
      <c r="B426" s="2">
        <v>45351</v>
      </c>
      <c r="C426" s="33">
        <v>1</v>
      </c>
      <c r="D426" s="33">
        <v>0</v>
      </c>
      <c r="E426" s="33">
        <v>0</v>
      </c>
      <c r="F426" s="31">
        <v>0.41666666666666669</v>
      </c>
      <c r="G426" s="31">
        <v>0.91666666666666663</v>
      </c>
    </row>
    <row r="427" spans="2:7">
      <c r="B427" s="2">
        <v>45352</v>
      </c>
      <c r="C427" s="33">
        <v>1</v>
      </c>
      <c r="D427" s="33">
        <v>0</v>
      </c>
      <c r="E427" s="33">
        <v>0</v>
      </c>
      <c r="F427" s="31">
        <v>0.41666666666666669</v>
      </c>
      <c r="G427" s="31">
        <v>0.91666666666666663</v>
      </c>
    </row>
    <row r="428" spans="2:7">
      <c r="B428" s="2">
        <v>45353</v>
      </c>
      <c r="C428" s="33">
        <v>1</v>
      </c>
      <c r="D428" s="33">
        <v>0</v>
      </c>
      <c r="E428" s="33">
        <v>0</v>
      </c>
      <c r="F428" s="31">
        <v>0.41666666666666669</v>
      </c>
      <c r="G428" s="31">
        <v>0.91666666666666663</v>
      </c>
    </row>
    <row r="429" spans="2:7">
      <c r="B429" s="2">
        <v>45354</v>
      </c>
      <c r="C429" s="33">
        <v>0</v>
      </c>
      <c r="D429" s="33">
        <v>1</v>
      </c>
      <c r="E429" s="33">
        <v>0</v>
      </c>
    </row>
    <row r="430" spans="2:7">
      <c r="B430" s="2">
        <v>45355</v>
      </c>
      <c r="C430" s="33">
        <v>1</v>
      </c>
      <c r="D430" s="33">
        <v>0</v>
      </c>
      <c r="E430" s="33">
        <v>1</v>
      </c>
      <c r="F430" s="31">
        <v>0.41666666666666669</v>
      </c>
      <c r="G430" s="31">
        <v>0.91666666666666663</v>
      </c>
    </row>
    <row r="431" spans="2:7">
      <c r="B431" s="2">
        <v>45356</v>
      </c>
      <c r="C431" s="33">
        <v>1</v>
      </c>
      <c r="D431" s="33">
        <v>0</v>
      </c>
      <c r="E431" s="33">
        <v>0</v>
      </c>
      <c r="F431" s="31">
        <v>0.41666666666666669</v>
      </c>
      <c r="G431" s="31">
        <v>0.91666666666666663</v>
      </c>
    </row>
    <row r="432" spans="2:7">
      <c r="B432" s="2">
        <v>45357</v>
      </c>
      <c r="C432" s="33">
        <v>1</v>
      </c>
      <c r="D432" s="33">
        <v>0</v>
      </c>
      <c r="E432" s="33">
        <v>0</v>
      </c>
      <c r="F432" s="31">
        <v>0.41666666666666669</v>
      </c>
      <c r="G432" s="31">
        <v>0.91666666666666663</v>
      </c>
    </row>
    <row r="433" spans="2:7">
      <c r="B433" s="2">
        <v>45358</v>
      </c>
      <c r="C433" s="33">
        <v>1</v>
      </c>
      <c r="D433" s="33">
        <v>0</v>
      </c>
      <c r="E433" s="33">
        <v>0</v>
      </c>
      <c r="F433" s="31">
        <v>0.41666666666666669</v>
      </c>
      <c r="G433" s="31">
        <v>0.91666666666666663</v>
      </c>
    </row>
    <row r="434" spans="2:7">
      <c r="B434" s="2">
        <v>45359</v>
      </c>
      <c r="C434" s="33">
        <v>1</v>
      </c>
      <c r="D434" s="33">
        <v>0</v>
      </c>
      <c r="E434" s="33">
        <v>0</v>
      </c>
      <c r="F434" s="31">
        <v>0.41666666666666669</v>
      </c>
      <c r="G434" s="31">
        <v>0.91666666666666663</v>
      </c>
    </row>
    <row r="435" spans="2:7">
      <c r="B435" s="2">
        <v>45360</v>
      </c>
      <c r="C435" s="33">
        <v>1</v>
      </c>
      <c r="D435" s="33">
        <v>0</v>
      </c>
      <c r="E435" s="33">
        <v>0</v>
      </c>
      <c r="F435" s="31">
        <v>0.41666666666666669</v>
      </c>
      <c r="G435" s="31">
        <v>0.91666666666666663</v>
      </c>
    </row>
    <row r="436" spans="2:7">
      <c r="B436" s="2">
        <v>45361</v>
      </c>
      <c r="C436" s="33">
        <v>0</v>
      </c>
      <c r="D436" s="33">
        <v>1</v>
      </c>
      <c r="E436" s="33">
        <v>0</v>
      </c>
    </row>
    <row r="437" spans="2:7">
      <c r="B437" s="2">
        <v>45362</v>
      </c>
      <c r="C437" s="33">
        <v>1</v>
      </c>
      <c r="D437" s="33">
        <v>0</v>
      </c>
      <c r="E437" s="33">
        <v>1</v>
      </c>
      <c r="F437" s="31">
        <v>0.41666666666666669</v>
      </c>
      <c r="G437" s="31">
        <v>0.91666666666666663</v>
      </c>
    </row>
    <row r="438" spans="2:7">
      <c r="B438" s="2">
        <v>45363</v>
      </c>
      <c r="C438" s="33">
        <v>1</v>
      </c>
      <c r="D438" s="33">
        <v>0</v>
      </c>
      <c r="E438" s="33">
        <v>0</v>
      </c>
      <c r="F438" s="31">
        <v>0.41666666666666669</v>
      </c>
      <c r="G438" s="31">
        <v>0.91666666666666663</v>
      </c>
    </row>
    <row r="439" spans="2:7">
      <c r="B439" s="2">
        <v>45364</v>
      </c>
      <c r="C439" s="33">
        <v>1</v>
      </c>
      <c r="D439" s="33">
        <v>0</v>
      </c>
      <c r="E439" s="33">
        <v>0</v>
      </c>
      <c r="F439" s="31">
        <v>0.41666666666666669</v>
      </c>
      <c r="G439" s="31">
        <v>0.91666666666666663</v>
      </c>
    </row>
    <row r="440" spans="2:7">
      <c r="B440" s="2">
        <v>45365</v>
      </c>
      <c r="C440" s="33">
        <v>1</v>
      </c>
      <c r="D440" s="33">
        <v>0</v>
      </c>
      <c r="E440" s="33">
        <v>0</v>
      </c>
      <c r="F440" s="31">
        <v>0.41666666666666669</v>
      </c>
      <c r="G440" s="31">
        <v>0.91666666666666663</v>
      </c>
    </row>
    <row r="441" spans="2:7">
      <c r="B441" s="2">
        <v>45366</v>
      </c>
      <c r="C441" s="33">
        <v>1</v>
      </c>
      <c r="D441" s="33">
        <v>0</v>
      </c>
      <c r="E441" s="33">
        <v>0</v>
      </c>
      <c r="F441" s="31">
        <v>0.41666666666666669</v>
      </c>
      <c r="G441" s="31">
        <v>0.91666666666666663</v>
      </c>
    </row>
    <row r="442" spans="2:7">
      <c r="B442" s="2">
        <v>45367</v>
      </c>
      <c r="C442" s="33">
        <v>1</v>
      </c>
      <c r="D442" s="33">
        <v>0</v>
      </c>
      <c r="E442" s="33">
        <v>0</v>
      </c>
      <c r="F442" s="31">
        <v>0.41666666666666669</v>
      </c>
      <c r="G442" s="31">
        <v>0.91666666666666663</v>
      </c>
    </row>
    <row r="443" spans="2:7">
      <c r="B443" s="2">
        <v>45368</v>
      </c>
      <c r="C443" s="33">
        <v>0</v>
      </c>
      <c r="D443" s="33">
        <v>1</v>
      </c>
      <c r="E443" s="33">
        <v>0</v>
      </c>
    </row>
    <row r="444" spans="2:7">
      <c r="B444" s="2">
        <v>45369</v>
      </c>
      <c r="C444" s="33">
        <v>1</v>
      </c>
      <c r="D444" s="33">
        <v>0</v>
      </c>
      <c r="E444" s="33">
        <v>1</v>
      </c>
      <c r="F444" s="31">
        <v>0.41666666666666669</v>
      </c>
      <c r="G444" s="31">
        <v>0.91666666666666663</v>
      </c>
    </row>
    <row r="445" spans="2:7">
      <c r="B445" s="2">
        <v>45370</v>
      </c>
      <c r="C445" s="33">
        <v>0</v>
      </c>
      <c r="D445" s="33">
        <v>1</v>
      </c>
      <c r="E445" s="33">
        <v>0</v>
      </c>
    </row>
    <row r="446" spans="2:7">
      <c r="B446" s="2">
        <v>45371</v>
      </c>
      <c r="C446" s="33">
        <v>1</v>
      </c>
      <c r="D446" s="33">
        <v>0</v>
      </c>
      <c r="E446" s="33">
        <v>1</v>
      </c>
      <c r="F446" s="31">
        <v>0.41666666666666669</v>
      </c>
      <c r="G446" s="31">
        <v>0.91666666666666663</v>
      </c>
    </row>
    <row r="447" spans="2:7">
      <c r="B447" s="2">
        <v>45372</v>
      </c>
      <c r="C447" s="33">
        <v>1</v>
      </c>
      <c r="D447" s="33">
        <v>0</v>
      </c>
      <c r="E447" s="33">
        <v>0</v>
      </c>
      <c r="F447" s="31">
        <v>0.41666666666666669</v>
      </c>
      <c r="G447" s="31">
        <v>0.91666666666666663</v>
      </c>
    </row>
    <row r="448" spans="2:7">
      <c r="B448" s="2">
        <v>45373</v>
      </c>
      <c r="C448" s="33">
        <v>1</v>
      </c>
      <c r="D448" s="33">
        <v>0</v>
      </c>
      <c r="E448" s="33">
        <v>0</v>
      </c>
      <c r="F448" s="31">
        <v>0.41666666666666669</v>
      </c>
      <c r="G448" s="31">
        <v>0.91666666666666663</v>
      </c>
    </row>
    <row r="449" spans="2:7">
      <c r="B449" s="2">
        <v>45374</v>
      </c>
      <c r="C449" s="33">
        <v>1</v>
      </c>
      <c r="D449" s="33">
        <v>0</v>
      </c>
      <c r="E449" s="33">
        <v>0</v>
      </c>
      <c r="F449" s="31">
        <v>0.41666666666666669</v>
      </c>
      <c r="G449" s="31">
        <v>0.91666666666666663</v>
      </c>
    </row>
    <row r="450" spans="2:7">
      <c r="B450" s="2">
        <v>45375</v>
      </c>
      <c r="C450" s="33">
        <v>1</v>
      </c>
      <c r="D450" s="33">
        <v>0</v>
      </c>
      <c r="E450" s="33">
        <v>0</v>
      </c>
      <c r="F450" s="31">
        <v>0.45833333333333331</v>
      </c>
      <c r="G450" s="31">
        <v>0.875</v>
      </c>
    </row>
    <row r="451" spans="2:7">
      <c r="B451" s="2">
        <v>45376</v>
      </c>
      <c r="C451" s="33">
        <v>1</v>
      </c>
      <c r="D451" s="33">
        <v>0</v>
      </c>
      <c r="E451" s="33">
        <v>0</v>
      </c>
      <c r="F451" s="31">
        <v>0.41666666666666669</v>
      </c>
      <c r="G451" s="31">
        <v>0.91666666666666663</v>
      </c>
    </row>
    <row r="452" spans="2:7">
      <c r="B452" s="2">
        <v>45377</v>
      </c>
      <c r="C452" s="33">
        <v>1</v>
      </c>
      <c r="D452" s="33">
        <v>0</v>
      </c>
      <c r="E452" s="33">
        <v>0</v>
      </c>
      <c r="F452" s="31">
        <v>0.41666666666666669</v>
      </c>
      <c r="G452" s="31">
        <v>0.91666666666666663</v>
      </c>
    </row>
    <row r="453" spans="2:7">
      <c r="B453" s="2">
        <v>45378</v>
      </c>
      <c r="C453" s="33">
        <v>1</v>
      </c>
      <c r="D453" s="33">
        <v>0</v>
      </c>
      <c r="E453" s="33">
        <v>0</v>
      </c>
      <c r="F453" s="31">
        <v>0.41666666666666669</v>
      </c>
      <c r="G453" s="31">
        <v>0.91666666666666663</v>
      </c>
    </row>
    <row r="454" spans="2:7">
      <c r="B454" s="2">
        <v>45379</v>
      </c>
      <c r="C454" s="33">
        <v>1</v>
      </c>
      <c r="D454" s="33">
        <v>0</v>
      </c>
      <c r="E454" s="33">
        <v>0</v>
      </c>
      <c r="F454" s="31">
        <v>0.41666666666666669</v>
      </c>
      <c r="G454" s="31">
        <v>0.91666666666666663</v>
      </c>
    </row>
    <row r="455" spans="2:7">
      <c r="B455" s="2">
        <v>45380</v>
      </c>
      <c r="C455" s="33">
        <v>1</v>
      </c>
      <c r="D455" s="33">
        <v>0</v>
      </c>
      <c r="E455" s="33">
        <v>0</v>
      </c>
      <c r="F455" s="31">
        <v>0.41666666666666669</v>
      </c>
      <c r="G455" s="31">
        <v>0.91666666666666663</v>
      </c>
    </row>
    <row r="456" spans="2:7">
      <c r="B456" s="2">
        <v>45381</v>
      </c>
      <c r="C456" s="33">
        <v>1</v>
      </c>
      <c r="D456" s="33">
        <v>0</v>
      </c>
      <c r="E456" s="33">
        <v>0</v>
      </c>
      <c r="F456" s="31">
        <v>0.41666666666666669</v>
      </c>
      <c r="G456" s="31">
        <v>0.91666666666666663</v>
      </c>
    </row>
    <row r="457" spans="2:7">
      <c r="B457" s="2">
        <v>45382</v>
      </c>
      <c r="C457" s="33">
        <v>1</v>
      </c>
      <c r="D457" s="33">
        <v>0</v>
      </c>
      <c r="E457" s="33">
        <v>0</v>
      </c>
      <c r="F457" s="31">
        <v>0.45833333333333331</v>
      </c>
      <c r="G457" s="31">
        <v>0.875</v>
      </c>
    </row>
    <row r="458" spans="2:7">
      <c r="B458" s="2">
        <v>45383</v>
      </c>
      <c r="C458" s="33">
        <v>0</v>
      </c>
      <c r="D458" s="33">
        <v>1</v>
      </c>
      <c r="E458" s="33">
        <v>0</v>
      </c>
    </row>
    <row r="459" spans="2:7">
      <c r="B459" s="2">
        <v>45384</v>
      </c>
      <c r="C459" s="33">
        <v>1</v>
      </c>
      <c r="D459" s="33">
        <v>0</v>
      </c>
      <c r="E459" s="33">
        <v>1</v>
      </c>
      <c r="F459" s="31">
        <v>0.41666666666666669</v>
      </c>
      <c r="G459" s="31">
        <v>0.91666666666666663</v>
      </c>
    </row>
    <row r="460" spans="2:7">
      <c r="B460" s="2">
        <v>45385</v>
      </c>
      <c r="C460" s="33">
        <v>1</v>
      </c>
      <c r="D460" s="33">
        <v>0</v>
      </c>
      <c r="E460" s="33">
        <v>0</v>
      </c>
      <c r="F460" s="31">
        <v>0.41666666666666669</v>
      </c>
      <c r="G460" s="31">
        <v>0.91666666666666663</v>
      </c>
    </row>
    <row r="461" spans="2:7">
      <c r="B461" s="2">
        <v>45386</v>
      </c>
      <c r="C461" s="33">
        <v>1</v>
      </c>
      <c r="D461" s="33">
        <v>0</v>
      </c>
      <c r="E461" s="33">
        <v>0</v>
      </c>
      <c r="F461" s="31">
        <v>0.41666666666666669</v>
      </c>
      <c r="G461" s="31">
        <v>0.91666666666666663</v>
      </c>
    </row>
    <row r="462" spans="2:7">
      <c r="B462" s="2">
        <v>45387</v>
      </c>
      <c r="C462" s="33">
        <v>1</v>
      </c>
      <c r="D462" s="33">
        <v>0</v>
      </c>
      <c r="E462" s="33">
        <v>0</v>
      </c>
      <c r="F462" s="31">
        <v>0.41666666666666669</v>
      </c>
      <c r="G462" s="31">
        <v>0.91666666666666663</v>
      </c>
    </row>
    <row r="463" spans="2:7">
      <c r="B463" s="2">
        <v>45388</v>
      </c>
      <c r="C463" s="33">
        <v>1</v>
      </c>
      <c r="D463" s="33">
        <v>0</v>
      </c>
      <c r="E463" s="33">
        <v>0</v>
      </c>
      <c r="F463" s="31">
        <v>0.41666666666666669</v>
      </c>
      <c r="G463" s="31">
        <v>0.91666666666666663</v>
      </c>
    </row>
    <row r="464" spans="2:7">
      <c r="B464" s="2">
        <v>45389</v>
      </c>
      <c r="C464" s="33">
        <v>1</v>
      </c>
      <c r="D464" s="33">
        <v>0</v>
      </c>
      <c r="E464" s="33">
        <v>0</v>
      </c>
      <c r="F464" s="31">
        <v>0.45833333333333331</v>
      </c>
      <c r="G464" s="31">
        <v>0.875</v>
      </c>
    </row>
    <row r="465" spans="2:7">
      <c r="B465" s="2">
        <v>45390</v>
      </c>
      <c r="C465" s="33">
        <v>0</v>
      </c>
      <c r="D465" s="33">
        <v>1</v>
      </c>
      <c r="E465" s="33">
        <v>0</v>
      </c>
    </row>
    <row r="466" spans="2:7">
      <c r="B466" s="2">
        <v>45391</v>
      </c>
      <c r="C466" s="33">
        <v>1</v>
      </c>
      <c r="D466" s="33">
        <v>0</v>
      </c>
      <c r="E466" s="33">
        <v>1</v>
      </c>
      <c r="F466" s="31">
        <v>0.41666666666666669</v>
      </c>
      <c r="G466" s="31">
        <v>0.91666666666666663</v>
      </c>
    </row>
    <row r="467" spans="2:7">
      <c r="B467" s="2">
        <v>45392</v>
      </c>
      <c r="C467" s="33">
        <v>1</v>
      </c>
      <c r="D467" s="33">
        <v>0</v>
      </c>
      <c r="E467" s="33">
        <v>0</v>
      </c>
      <c r="F467" s="31">
        <v>0.41666666666666669</v>
      </c>
      <c r="G467" s="31">
        <v>0.91666666666666663</v>
      </c>
    </row>
    <row r="468" spans="2:7">
      <c r="B468" s="2">
        <v>45393</v>
      </c>
      <c r="C468" s="33">
        <v>1</v>
      </c>
      <c r="D468" s="33">
        <v>0</v>
      </c>
      <c r="E468" s="33">
        <v>0</v>
      </c>
      <c r="F468" s="31">
        <v>0.41666666666666669</v>
      </c>
      <c r="G468" s="31">
        <v>0.91666666666666663</v>
      </c>
    </row>
    <row r="469" spans="2:7">
      <c r="B469" s="2">
        <v>45394</v>
      </c>
      <c r="C469" s="33">
        <v>1</v>
      </c>
      <c r="D469" s="33">
        <v>0</v>
      </c>
      <c r="E469" s="33">
        <v>0</v>
      </c>
      <c r="F469" s="31">
        <v>0.41666666666666669</v>
      </c>
      <c r="G469" s="31">
        <v>0.91666666666666663</v>
      </c>
    </row>
    <row r="470" spans="2:7">
      <c r="B470" s="2">
        <v>45395</v>
      </c>
      <c r="C470" s="33">
        <v>1</v>
      </c>
      <c r="D470" s="33">
        <v>0</v>
      </c>
      <c r="E470" s="33">
        <v>0</v>
      </c>
      <c r="F470" s="31">
        <v>0.41666666666666669</v>
      </c>
      <c r="G470" s="31">
        <v>0.91666666666666663</v>
      </c>
    </row>
    <row r="471" spans="2:7">
      <c r="B471" s="2">
        <v>45396</v>
      </c>
      <c r="C471" s="33">
        <v>0</v>
      </c>
      <c r="D471" s="33">
        <v>1</v>
      </c>
      <c r="E471" s="33">
        <v>0</v>
      </c>
    </row>
    <row r="472" spans="2:7">
      <c r="B472" s="2">
        <v>45397</v>
      </c>
      <c r="C472" s="33">
        <v>1</v>
      </c>
      <c r="D472" s="33">
        <v>0</v>
      </c>
      <c r="E472" s="33">
        <v>1</v>
      </c>
      <c r="F472" s="31">
        <v>0.41666666666666669</v>
      </c>
      <c r="G472" s="31">
        <v>0.91666666666666663</v>
      </c>
    </row>
    <row r="473" spans="2:7">
      <c r="B473" s="2">
        <v>45398</v>
      </c>
      <c r="C473" s="33">
        <v>1</v>
      </c>
      <c r="D473" s="33">
        <v>0</v>
      </c>
      <c r="E473" s="33">
        <v>0</v>
      </c>
      <c r="F473" s="31">
        <v>0.41666666666666669</v>
      </c>
      <c r="G473" s="31">
        <v>0.91666666666666663</v>
      </c>
    </row>
    <row r="474" spans="2:7">
      <c r="B474" s="2">
        <v>45399</v>
      </c>
      <c r="C474" s="33">
        <v>1</v>
      </c>
      <c r="D474" s="33">
        <v>0</v>
      </c>
      <c r="E474" s="33">
        <v>0</v>
      </c>
      <c r="F474" s="31">
        <v>0.41666666666666669</v>
      </c>
      <c r="G474" s="31">
        <v>0.91666666666666663</v>
      </c>
    </row>
    <row r="475" spans="2:7">
      <c r="B475" s="2">
        <v>45400</v>
      </c>
      <c r="C475" s="33">
        <v>1</v>
      </c>
      <c r="D475" s="33">
        <v>0</v>
      </c>
      <c r="E475" s="33">
        <v>0</v>
      </c>
      <c r="F475" s="31">
        <v>0.41666666666666669</v>
      </c>
      <c r="G475" s="31">
        <v>0.91666666666666663</v>
      </c>
    </row>
    <row r="476" spans="2:7">
      <c r="B476" s="2">
        <v>45401</v>
      </c>
      <c r="C476" s="33">
        <v>1</v>
      </c>
      <c r="D476" s="33">
        <v>0</v>
      </c>
      <c r="E476" s="33">
        <v>0</v>
      </c>
      <c r="F476" s="31">
        <v>0.41666666666666669</v>
      </c>
      <c r="G476" s="31">
        <v>0.91666666666666663</v>
      </c>
    </row>
    <row r="477" spans="2:7">
      <c r="B477" s="2">
        <v>45402</v>
      </c>
      <c r="C477" s="33">
        <v>1</v>
      </c>
      <c r="D477" s="33">
        <v>0</v>
      </c>
      <c r="E477" s="33">
        <v>0</v>
      </c>
      <c r="F477" s="31">
        <v>0.41666666666666669</v>
      </c>
      <c r="G477" s="31">
        <v>0.91666666666666663</v>
      </c>
    </row>
    <row r="478" spans="2:7">
      <c r="B478" s="2">
        <v>45403</v>
      </c>
      <c r="C478" s="33">
        <v>0</v>
      </c>
      <c r="D478" s="33">
        <v>1</v>
      </c>
      <c r="E478" s="33">
        <v>0</v>
      </c>
    </row>
    <row r="479" spans="2:7">
      <c r="B479" s="2">
        <v>45404</v>
      </c>
      <c r="C479" s="33">
        <v>1</v>
      </c>
      <c r="D479" s="33">
        <v>0</v>
      </c>
      <c r="E479" s="33">
        <v>1</v>
      </c>
      <c r="F479" s="31">
        <v>0.41666666666666669</v>
      </c>
      <c r="G479" s="31">
        <v>0.91666666666666663</v>
      </c>
    </row>
    <row r="480" spans="2:7">
      <c r="B480" s="2">
        <v>45405</v>
      </c>
      <c r="C480" s="33">
        <v>1</v>
      </c>
      <c r="D480" s="33">
        <v>0</v>
      </c>
      <c r="E480" s="33">
        <v>0</v>
      </c>
      <c r="F480" s="31">
        <v>0.41666666666666669</v>
      </c>
      <c r="G480" s="31">
        <v>0.91666666666666663</v>
      </c>
    </row>
    <row r="481" spans="2:7">
      <c r="B481" s="2">
        <v>45406</v>
      </c>
      <c r="C481" s="33">
        <v>1</v>
      </c>
      <c r="D481" s="33">
        <v>0</v>
      </c>
      <c r="E481" s="33">
        <v>0</v>
      </c>
      <c r="F481" s="31">
        <v>0.41666666666666669</v>
      </c>
      <c r="G481" s="31">
        <v>0.91666666666666663</v>
      </c>
    </row>
    <row r="482" spans="2:7">
      <c r="B482" s="2">
        <v>45407</v>
      </c>
      <c r="C482" s="33">
        <v>1</v>
      </c>
      <c r="D482" s="33">
        <v>0</v>
      </c>
      <c r="E482" s="33">
        <v>0</v>
      </c>
      <c r="F482" s="31">
        <v>0.41666666666666669</v>
      </c>
      <c r="G482" s="31">
        <v>0.91666666666666663</v>
      </c>
    </row>
    <row r="483" spans="2:7">
      <c r="B483" s="2">
        <v>45408</v>
      </c>
      <c r="C483" s="33">
        <v>1</v>
      </c>
      <c r="D483" s="33">
        <v>0</v>
      </c>
      <c r="E483" s="33">
        <v>0</v>
      </c>
      <c r="F483" s="31">
        <v>0.41666666666666669</v>
      </c>
      <c r="G483" s="31">
        <v>0.91666666666666663</v>
      </c>
    </row>
    <row r="484" spans="2:7">
      <c r="B484" s="2">
        <v>45409</v>
      </c>
      <c r="C484" s="33">
        <v>1</v>
      </c>
      <c r="D484" s="33">
        <v>0</v>
      </c>
      <c r="E484" s="33">
        <v>0</v>
      </c>
      <c r="F484" s="31">
        <v>0.41666666666666669</v>
      </c>
      <c r="G484" s="31">
        <v>0.91666666666666663</v>
      </c>
    </row>
    <row r="485" spans="2:7">
      <c r="B485" s="2">
        <v>45410</v>
      </c>
      <c r="C485" s="33">
        <v>0</v>
      </c>
      <c r="D485" s="33">
        <v>1</v>
      </c>
      <c r="E485" s="33">
        <v>0</v>
      </c>
    </row>
    <row r="486" spans="2:7">
      <c r="B486" s="2">
        <v>45411</v>
      </c>
      <c r="C486" s="33">
        <v>1</v>
      </c>
      <c r="D486" s="33">
        <v>0</v>
      </c>
      <c r="E486" s="33">
        <v>1</v>
      </c>
      <c r="F486" s="31">
        <v>0.41666666666666669</v>
      </c>
      <c r="G486" s="31">
        <v>0.91666666666666663</v>
      </c>
    </row>
    <row r="487" spans="2:7">
      <c r="B487" s="2">
        <v>45412</v>
      </c>
      <c r="C487" s="33">
        <v>1</v>
      </c>
      <c r="D487" s="33">
        <v>0</v>
      </c>
      <c r="E487" s="33">
        <v>0</v>
      </c>
      <c r="F487" s="31">
        <v>0.41666666666666669</v>
      </c>
      <c r="G487" s="31">
        <v>0.91666666666666663</v>
      </c>
    </row>
    <row r="488" spans="2:7">
      <c r="B488" s="2">
        <v>45413</v>
      </c>
      <c r="C488" s="33">
        <v>0</v>
      </c>
      <c r="D488" s="33">
        <v>1</v>
      </c>
      <c r="E488" s="33">
        <v>0</v>
      </c>
    </row>
    <row r="489" spans="2:7">
      <c r="B489" s="2">
        <v>45414</v>
      </c>
      <c r="C489" s="33">
        <v>1</v>
      </c>
      <c r="D489" s="33">
        <v>0</v>
      </c>
      <c r="E489" s="33">
        <v>1</v>
      </c>
      <c r="F489" s="31">
        <v>0.41666666666666669</v>
      </c>
      <c r="G489" s="31">
        <v>0.91666666666666663</v>
      </c>
    </row>
    <row r="490" spans="2:7">
      <c r="B490" s="2">
        <v>45415</v>
      </c>
      <c r="C490" s="33">
        <v>1</v>
      </c>
      <c r="D490" s="33">
        <v>0</v>
      </c>
      <c r="E490" s="33">
        <v>0</v>
      </c>
      <c r="F490" s="31">
        <v>0.41666666666666669</v>
      </c>
      <c r="G490" s="31">
        <v>0.91666666666666663</v>
      </c>
    </row>
    <row r="491" spans="2:7">
      <c r="B491" s="2">
        <v>45416</v>
      </c>
      <c r="C491" s="33">
        <v>1</v>
      </c>
      <c r="D491" s="33">
        <v>0</v>
      </c>
      <c r="E491" s="33">
        <v>0</v>
      </c>
      <c r="F491" s="31">
        <v>0.41666666666666669</v>
      </c>
      <c r="G491" s="31">
        <v>0.91666666666666663</v>
      </c>
    </row>
    <row r="492" spans="2:7">
      <c r="B492" s="2">
        <v>45417</v>
      </c>
      <c r="C492" s="33">
        <v>0</v>
      </c>
      <c r="D492" s="33">
        <v>1</v>
      </c>
      <c r="E492" s="33">
        <v>0</v>
      </c>
    </row>
    <row r="493" spans="2:7">
      <c r="B493" s="2">
        <v>45418</v>
      </c>
      <c r="C493" s="33">
        <v>1</v>
      </c>
      <c r="D493" s="33">
        <v>0</v>
      </c>
      <c r="E493" s="33">
        <v>1</v>
      </c>
      <c r="F493" s="31">
        <v>0.41666666666666669</v>
      </c>
      <c r="G493" s="31">
        <v>0.91666666666666663</v>
      </c>
    </row>
    <row r="494" spans="2:7">
      <c r="B494" s="2">
        <v>45419</v>
      </c>
      <c r="C494" s="33">
        <v>1</v>
      </c>
      <c r="D494" s="33">
        <v>0</v>
      </c>
      <c r="E494" s="33">
        <v>0</v>
      </c>
      <c r="F494" s="31">
        <v>0.41666666666666669</v>
      </c>
      <c r="G494" s="31">
        <v>0.91666666666666663</v>
      </c>
    </row>
    <row r="495" spans="2:7">
      <c r="B495" s="2">
        <v>45420</v>
      </c>
      <c r="C495" s="33">
        <v>1</v>
      </c>
      <c r="D495" s="33">
        <v>0</v>
      </c>
      <c r="E495" s="33">
        <v>0</v>
      </c>
      <c r="F495" s="31">
        <v>0.41666666666666669</v>
      </c>
      <c r="G495" s="31">
        <v>0.91666666666666663</v>
      </c>
    </row>
    <row r="496" spans="2:7">
      <c r="B496" s="2">
        <v>45421</v>
      </c>
      <c r="C496" s="33">
        <v>1</v>
      </c>
      <c r="D496" s="33">
        <v>0</v>
      </c>
      <c r="E496" s="33">
        <v>0</v>
      </c>
      <c r="F496" s="31">
        <v>0.41666666666666669</v>
      </c>
      <c r="G496" s="31">
        <v>0.91666666666666663</v>
      </c>
    </row>
    <row r="497" spans="2:7">
      <c r="B497" s="2">
        <v>45422</v>
      </c>
      <c r="C497" s="33">
        <v>1</v>
      </c>
      <c r="D497" s="33">
        <v>0</v>
      </c>
      <c r="E497" s="33">
        <v>0</v>
      </c>
      <c r="F497" s="31">
        <v>0.41666666666666669</v>
      </c>
      <c r="G497" s="31">
        <v>0.91666666666666663</v>
      </c>
    </row>
    <row r="498" spans="2:7">
      <c r="B498" s="2">
        <v>45423</v>
      </c>
      <c r="C498" s="33">
        <v>1</v>
      </c>
      <c r="D498" s="33">
        <v>0</v>
      </c>
      <c r="E498" s="33">
        <v>0</v>
      </c>
      <c r="F498" s="31">
        <v>0.41666666666666669</v>
      </c>
      <c r="G498" s="31">
        <v>0.91666666666666663</v>
      </c>
    </row>
    <row r="499" spans="2:7">
      <c r="B499" s="2">
        <v>45424</v>
      </c>
      <c r="C499" s="33">
        <v>0</v>
      </c>
      <c r="D499" s="33">
        <v>1</v>
      </c>
      <c r="E499" s="33">
        <v>0</v>
      </c>
    </row>
    <row r="500" spans="2:7">
      <c r="B500" s="2">
        <v>45425</v>
      </c>
      <c r="C500" s="33">
        <v>1</v>
      </c>
      <c r="D500" s="33">
        <v>0</v>
      </c>
      <c r="E500" s="33">
        <v>1</v>
      </c>
      <c r="F500" s="31">
        <v>0.41666666666666669</v>
      </c>
      <c r="G500" s="31">
        <v>0.91666666666666663</v>
      </c>
    </row>
    <row r="501" spans="2:7">
      <c r="B501" s="2">
        <v>45426</v>
      </c>
      <c r="C501" s="33">
        <v>1</v>
      </c>
      <c r="D501" s="33">
        <v>0</v>
      </c>
      <c r="E501" s="33">
        <v>0</v>
      </c>
      <c r="F501" s="31">
        <v>0.41666666666666669</v>
      </c>
      <c r="G501" s="31">
        <v>0.91666666666666663</v>
      </c>
    </row>
    <row r="502" spans="2:7">
      <c r="B502" s="2">
        <v>45427</v>
      </c>
      <c r="C502" s="33">
        <v>1</v>
      </c>
      <c r="D502" s="33">
        <v>0</v>
      </c>
      <c r="E502" s="33">
        <v>0</v>
      </c>
      <c r="F502" s="31">
        <v>0.41666666666666669</v>
      </c>
      <c r="G502" s="31">
        <v>0.91666666666666663</v>
      </c>
    </row>
    <row r="503" spans="2:7">
      <c r="B503" s="2">
        <v>45428</v>
      </c>
      <c r="C503" s="33">
        <v>1</v>
      </c>
      <c r="D503" s="33">
        <v>0</v>
      </c>
      <c r="E503" s="33">
        <v>0</v>
      </c>
      <c r="F503" s="31">
        <v>0.41666666666666669</v>
      </c>
      <c r="G503" s="31">
        <v>0.91666666666666663</v>
      </c>
    </row>
    <row r="504" spans="2:7">
      <c r="B504" s="2">
        <v>45429</v>
      </c>
      <c r="C504" s="33">
        <v>1</v>
      </c>
      <c r="D504" s="33">
        <v>0</v>
      </c>
      <c r="E504" s="33">
        <v>0</v>
      </c>
      <c r="F504" s="31">
        <v>0.41666666666666669</v>
      </c>
      <c r="G504" s="31">
        <v>0.91666666666666663</v>
      </c>
    </row>
    <row r="505" spans="2:7">
      <c r="B505" s="2">
        <v>45430</v>
      </c>
      <c r="C505" s="33">
        <v>1</v>
      </c>
      <c r="D505" s="33">
        <v>0</v>
      </c>
      <c r="E505" s="33">
        <v>0</v>
      </c>
      <c r="F505" s="31">
        <v>0.41666666666666669</v>
      </c>
      <c r="G505" s="31">
        <v>0.91666666666666663</v>
      </c>
    </row>
    <row r="506" spans="2:7">
      <c r="B506" s="2">
        <v>45431</v>
      </c>
      <c r="C506" s="33">
        <v>0</v>
      </c>
      <c r="D506" s="33">
        <v>1</v>
      </c>
      <c r="E506" s="33">
        <v>0</v>
      </c>
    </row>
    <row r="507" spans="2:7">
      <c r="B507" s="2">
        <v>45432</v>
      </c>
      <c r="C507" s="33">
        <v>1</v>
      </c>
      <c r="D507" s="33">
        <v>0</v>
      </c>
      <c r="E507" s="33">
        <v>1</v>
      </c>
      <c r="F507" s="31">
        <v>0.41666666666666669</v>
      </c>
      <c r="G507" s="31">
        <v>0.91666666666666663</v>
      </c>
    </row>
    <row r="508" spans="2:7">
      <c r="B508" s="2">
        <v>45433</v>
      </c>
      <c r="C508" s="33">
        <v>1</v>
      </c>
      <c r="D508" s="33">
        <v>0</v>
      </c>
      <c r="E508" s="33">
        <v>0</v>
      </c>
      <c r="F508" s="31">
        <v>0.41666666666666669</v>
      </c>
      <c r="G508" s="31">
        <v>0.91666666666666663</v>
      </c>
    </row>
    <row r="509" spans="2:7">
      <c r="B509" s="2">
        <v>45434</v>
      </c>
      <c r="C509" s="33">
        <v>1</v>
      </c>
      <c r="D509" s="33">
        <v>0</v>
      </c>
      <c r="E509" s="33">
        <v>0</v>
      </c>
      <c r="F509" s="31">
        <v>0.41666666666666669</v>
      </c>
      <c r="G509" s="31">
        <v>0.91666666666666663</v>
      </c>
    </row>
    <row r="510" spans="2:7">
      <c r="B510" s="2">
        <v>45435</v>
      </c>
      <c r="C510" s="33">
        <v>1</v>
      </c>
      <c r="D510" s="33">
        <v>0</v>
      </c>
      <c r="E510" s="33">
        <v>0</v>
      </c>
      <c r="F510" s="31">
        <v>0.41666666666666669</v>
      </c>
      <c r="G510" s="31">
        <v>0.91666666666666663</v>
      </c>
    </row>
    <row r="511" spans="2:7">
      <c r="B511" s="2">
        <v>45436</v>
      </c>
      <c r="C511" s="33">
        <v>1</v>
      </c>
      <c r="D511" s="33">
        <v>0</v>
      </c>
      <c r="E511" s="33">
        <v>0</v>
      </c>
      <c r="F511" s="31">
        <v>0.41666666666666669</v>
      </c>
      <c r="G511" s="31">
        <v>0.91666666666666663</v>
      </c>
    </row>
    <row r="512" spans="2:7">
      <c r="B512" s="2">
        <v>45437</v>
      </c>
      <c r="C512" s="33">
        <v>1</v>
      </c>
      <c r="D512" s="33">
        <v>0</v>
      </c>
      <c r="E512" s="33">
        <v>0</v>
      </c>
      <c r="F512" s="31">
        <v>0.41666666666666669</v>
      </c>
      <c r="G512" s="31">
        <v>0.91666666666666663</v>
      </c>
    </row>
    <row r="513" spans="2:7">
      <c r="B513" s="2">
        <v>45438</v>
      </c>
      <c r="C513" s="33">
        <v>0</v>
      </c>
      <c r="D513" s="33">
        <v>1</v>
      </c>
      <c r="E513" s="33">
        <v>0</v>
      </c>
    </row>
    <row r="514" spans="2:7">
      <c r="B514" s="2">
        <v>45439</v>
      </c>
      <c r="C514" s="33">
        <v>1</v>
      </c>
      <c r="D514" s="33">
        <v>0</v>
      </c>
      <c r="E514" s="33">
        <v>1</v>
      </c>
      <c r="F514" s="31">
        <v>0.41666666666666669</v>
      </c>
      <c r="G514" s="31">
        <v>0.91666666666666663</v>
      </c>
    </row>
    <row r="515" spans="2:7">
      <c r="B515" s="2">
        <v>45440</v>
      </c>
      <c r="C515" s="33">
        <v>1</v>
      </c>
      <c r="D515" s="33">
        <v>0</v>
      </c>
      <c r="E515" s="33">
        <v>0</v>
      </c>
      <c r="F515" s="31">
        <v>0.41666666666666669</v>
      </c>
      <c r="G515" s="31">
        <v>0.91666666666666663</v>
      </c>
    </row>
    <row r="516" spans="2:7">
      <c r="B516" s="2">
        <v>45441</v>
      </c>
      <c r="C516" s="33">
        <v>1</v>
      </c>
      <c r="D516" s="33">
        <v>0</v>
      </c>
      <c r="E516" s="33">
        <v>0</v>
      </c>
      <c r="F516" s="31">
        <v>0.41666666666666669</v>
      </c>
      <c r="G516" s="31">
        <v>0.91666666666666663</v>
      </c>
    </row>
    <row r="517" spans="2:7">
      <c r="B517" s="2">
        <v>45442</v>
      </c>
      <c r="C517" s="33">
        <v>1</v>
      </c>
      <c r="D517" s="33">
        <v>0</v>
      </c>
      <c r="E517" s="33">
        <v>0</v>
      </c>
      <c r="F517" s="31">
        <v>0.41666666666666669</v>
      </c>
      <c r="G517" s="31">
        <v>0.91666666666666663</v>
      </c>
    </row>
    <row r="518" spans="2:7">
      <c r="B518" s="2">
        <v>45443</v>
      </c>
      <c r="C518" s="33">
        <v>1</v>
      </c>
      <c r="D518" s="33">
        <v>0</v>
      </c>
      <c r="E518" s="33">
        <v>0</v>
      </c>
      <c r="F518" s="31">
        <v>0.41666666666666669</v>
      </c>
      <c r="G518" s="31">
        <v>0.91666666666666663</v>
      </c>
    </row>
    <row r="519" spans="2:7">
      <c r="B519" s="2">
        <v>45444</v>
      </c>
      <c r="C519" s="33">
        <v>1</v>
      </c>
      <c r="D519" s="33">
        <v>0</v>
      </c>
      <c r="E519" s="33">
        <v>0</v>
      </c>
      <c r="F519" s="31">
        <v>0.41666666666666669</v>
      </c>
      <c r="G519" s="31">
        <v>0.91666666666666663</v>
      </c>
    </row>
    <row r="520" spans="2:7">
      <c r="B520" s="2">
        <v>45445</v>
      </c>
      <c r="C520" s="33">
        <v>0</v>
      </c>
      <c r="D520" s="33">
        <v>1</v>
      </c>
      <c r="E520" s="33">
        <v>0</v>
      </c>
    </row>
    <row r="521" spans="2:7">
      <c r="B521" s="2">
        <v>45446</v>
      </c>
      <c r="C521" s="33">
        <v>1</v>
      </c>
      <c r="D521" s="33">
        <v>0</v>
      </c>
      <c r="E521" s="33">
        <v>1</v>
      </c>
      <c r="F521" s="31">
        <v>0.41666666666666669</v>
      </c>
      <c r="G521" s="31">
        <v>0.91666666666666663</v>
      </c>
    </row>
    <row r="522" spans="2:7">
      <c r="B522" s="2">
        <v>45447</v>
      </c>
      <c r="C522" s="33">
        <v>1</v>
      </c>
      <c r="D522" s="33">
        <v>0</v>
      </c>
      <c r="E522" s="33">
        <v>0</v>
      </c>
      <c r="F522" s="31">
        <v>0.41666666666666669</v>
      </c>
      <c r="G522" s="31">
        <v>0.91666666666666663</v>
      </c>
    </row>
    <row r="523" spans="2:7">
      <c r="B523" s="2">
        <v>45448</v>
      </c>
      <c r="C523" s="33">
        <v>1</v>
      </c>
      <c r="D523" s="33">
        <v>0</v>
      </c>
      <c r="E523" s="33">
        <v>0</v>
      </c>
      <c r="F523" s="31">
        <v>0.41666666666666669</v>
      </c>
      <c r="G523" s="31">
        <v>0.91666666666666663</v>
      </c>
    </row>
    <row r="524" spans="2:7">
      <c r="B524" s="2">
        <v>45449</v>
      </c>
      <c r="C524" s="33">
        <v>1</v>
      </c>
      <c r="D524" s="33">
        <v>0</v>
      </c>
      <c r="E524" s="33">
        <v>0</v>
      </c>
      <c r="F524" s="31">
        <v>0.41666666666666669</v>
      </c>
      <c r="G524" s="31">
        <v>0.91666666666666663</v>
      </c>
    </row>
    <row r="525" spans="2:7">
      <c r="B525" s="2">
        <v>45450</v>
      </c>
      <c r="C525" s="33">
        <v>1</v>
      </c>
      <c r="D525" s="33">
        <v>0</v>
      </c>
      <c r="E525" s="33">
        <v>0</v>
      </c>
      <c r="F525" s="31">
        <v>0.41666666666666669</v>
      </c>
      <c r="G525" s="31">
        <v>0.91666666666666663</v>
      </c>
    </row>
    <row r="526" spans="2:7">
      <c r="B526" s="2">
        <v>45451</v>
      </c>
      <c r="C526" s="33">
        <v>1</v>
      </c>
      <c r="D526" s="33">
        <v>0</v>
      </c>
      <c r="E526" s="33">
        <v>0</v>
      </c>
      <c r="F526" s="31">
        <v>0.41666666666666669</v>
      </c>
      <c r="G526" s="31">
        <v>0.91666666666666663</v>
      </c>
    </row>
    <row r="527" spans="2:7">
      <c r="B527" s="2">
        <v>45452</v>
      </c>
      <c r="C527" s="33">
        <v>0</v>
      </c>
      <c r="D527" s="33">
        <v>1</v>
      </c>
      <c r="E527" s="33">
        <v>0</v>
      </c>
    </row>
    <row r="528" spans="2:7">
      <c r="B528" s="2">
        <v>45453</v>
      </c>
      <c r="C528" s="33">
        <v>1</v>
      </c>
      <c r="D528" s="33">
        <v>0</v>
      </c>
      <c r="E528" s="33">
        <v>1</v>
      </c>
      <c r="F528" s="31">
        <v>0.41666666666666669</v>
      </c>
      <c r="G528" s="31">
        <v>0.91666666666666663</v>
      </c>
    </row>
    <row r="529" spans="2:7">
      <c r="B529" s="2">
        <v>45454</v>
      </c>
      <c r="C529" s="33">
        <v>1</v>
      </c>
      <c r="D529" s="33">
        <v>0</v>
      </c>
      <c r="E529" s="33">
        <v>0</v>
      </c>
      <c r="F529" s="31">
        <v>0.41666666666666669</v>
      </c>
      <c r="G529" s="31">
        <v>0.91666666666666663</v>
      </c>
    </row>
    <row r="530" spans="2:7">
      <c r="B530" s="2">
        <v>45455</v>
      </c>
      <c r="C530" s="33">
        <v>1</v>
      </c>
      <c r="D530" s="33">
        <v>0</v>
      </c>
      <c r="E530" s="33">
        <v>0</v>
      </c>
      <c r="F530" s="31">
        <v>0.41666666666666669</v>
      </c>
      <c r="G530" s="31">
        <v>0.91666666666666663</v>
      </c>
    </row>
    <row r="531" spans="2:7">
      <c r="B531" s="2">
        <v>45456</v>
      </c>
      <c r="C531" s="33">
        <v>1</v>
      </c>
      <c r="D531" s="33">
        <v>0</v>
      </c>
      <c r="E531" s="33">
        <v>0</v>
      </c>
      <c r="F531" s="31">
        <v>0.41666666666666669</v>
      </c>
      <c r="G531" s="31">
        <v>0.91666666666666663</v>
      </c>
    </row>
    <row r="532" spans="2:7">
      <c r="B532" s="2">
        <v>45457</v>
      </c>
      <c r="C532" s="33">
        <v>1</v>
      </c>
      <c r="D532" s="33">
        <v>0</v>
      </c>
      <c r="E532" s="33">
        <v>0</v>
      </c>
      <c r="F532" s="31">
        <v>0.41666666666666669</v>
      </c>
      <c r="G532" s="31">
        <v>0.91666666666666663</v>
      </c>
    </row>
    <row r="533" spans="2:7">
      <c r="B533" s="2">
        <v>45458</v>
      </c>
      <c r="C533" s="33">
        <v>1</v>
      </c>
      <c r="D533" s="33">
        <v>0</v>
      </c>
      <c r="E533" s="33">
        <v>0</v>
      </c>
      <c r="F533" s="31">
        <v>0.41666666666666669</v>
      </c>
      <c r="G533" s="31">
        <v>0.91666666666666663</v>
      </c>
    </row>
    <row r="534" spans="2:7">
      <c r="B534" s="2">
        <v>45459</v>
      </c>
      <c r="C534" s="33">
        <v>0</v>
      </c>
      <c r="D534" s="33">
        <v>1</v>
      </c>
      <c r="E534" s="33">
        <v>0</v>
      </c>
    </row>
    <row r="535" spans="2:7">
      <c r="B535" s="2">
        <v>45460</v>
      </c>
      <c r="C535" s="33">
        <v>1</v>
      </c>
      <c r="D535" s="33">
        <v>0</v>
      </c>
      <c r="E535" s="33">
        <v>1</v>
      </c>
      <c r="F535" s="31">
        <v>0.41666666666666669</v>
      </c>
      <c r="G535" s="31">
        <v>0.91666666666666663</v>
      </c>
    </row>
    <row r="536" spans="2:7">
      <c r="B536" s="2">
        <v>45461</v>
      </c>
      <c r="C536" s="33">
        <v>1</v>
      </c>
      <c r="D536" s="33">
        <v>0</v>
      </c>
      <c r="E536" s="33">
        <v>0</v>
      </c>
      <c r="F536" s="31">
        <v>0.41666666666666669</v>
      </c>
      <c r="G536" s="31">
        <v>0.91666666666666663</v>
      </c>
    </row>
    <row r="537" spans="2:7">
      <c r="B537" s="2">
        <v>45462</v>
      </c>
      <c r="C537" s="33">
        <v>1</v>
      </c>
      <c r="D537" s="33">
        <v>0</v>
      </c>
      <c r="E537" s="33">
        <v>0</v>
      </c>
      <c r="F537" s="31">
        <v>0.41666666666666669</v>
      </c>
      <c r="G537" s="31">
        <v>0.91666666666666663</v>
      </c>
    </row>
    <row r="538" spans="2:7">
      <c r="B538" s="2">
        <v>45463</v>
      </c>
      <c r="C538" s="33">
        <v>1</v>
      </c>
      <c r="D538" s="33">
        <v>0</v>
      </c>
      <c r="E538" s="33">
        <v>0</v>
      </c>
      <c r="F538" s="31">
        <v>0.41666666666666669</v>
      </c>
      <c r="G538" s="31">
        <v>0.91666666666666663</v>
      </c>
    </row>
    <row r="539" spans="2:7">
      <c r="B539" s="2">
        <v>45464</v>
      </c>
      <c r="C539" s="33">
        <v>1</v>
      </c>
      <c r="D539" s="33">
        <v>0</v>
      </c>
      <c r="E539" s="33">
        <v>0</v>
      </c>
      <c r="F539" s="31">
        <v>0.41666666666666669</v>
      </c>
      <c r="G539" s="31">
        <v>0.91666666666666663</v>
      </c>
    </row>
    <row r="540" spans="2:7">
      <c r="B540" s="2">
        <v>45465</v>
      </c>
      <c r="C540" s="33">
        <v>1</v>
      </c>
      <c r="D540" s="33">
        <v>0</v>
      </c>
      <c r="E540" s="33">
        <v>0</v>
      </c>
      <c r="F540" s="31">
        <v>0.41666666666666669</v>
      </c>
      <c r="G540" s="31">
        <v>0.91666666666666663</v>
      </c>
    </row>
    <row r="541" spans="2:7">
      <c r="B541" s="2">
        <v>45466</v>
      </c>
      <c r="C541" s="33">
        <v>1</v>
      </c>
      <c r="D541" s="33">
        <v>0</v>
      </c>
      <c r="E541" s="33">
        <v>0</v>
      </c>
      <c r="F541" s="31">
        <v>0.45833333333333331</v>
      </c>
      <c r="G541" s="31">
        <v>0.875</v>
      </c>
    </row>
    <row r="542" spans="2:7">
      <c r="B542" s="2">
        <v>45467</v>
      </c>
      <c r="C542" s="33">
        <v>1</v>
      </c>
      <c r="D542" s="33">
        <v>0</v>
      </c>
      <c r="E542" s="33">
        <v>0</v>
      </c>
      <c r="F542" s="31">
        <v>0.41666666666666669</v>
      </c>
      <c r="G542" s="31">
        <v>0.91666666666666663</v>
      </c>
    </row>
    <row r="543" spans="2:7">
      <c r="B543" s="2">
        <v>45468</v>
      </c>
      <c r="C543" s="33">
        <v>1</v>
      </c>
      <c r="D543" s="33">
        <v>0</v>
      </c>
      <c r="E543" s="33">
        <v>0</v>
      </c>
      <c r="F543" s="31">
        <v>0.41666666666666669</v>
      </c>
      <c r="G543" s="31">
        <v>0.91666666666666663</v>
      </c>
    </row>
    <row r="544" spans="2:7">
      <c r="B544" s="2">
        <v>45469</v>
      </c>
      <c r="C544" s="33">
        <v>1</v>
      </c>
      <c r="D544" s="33">
        <v>0</v>
      </c>
      <c r="E544" s="33">
        <v>0</v>
      </c>
      <c r="F544" s="31">
        <v>0.41666666666666669</v>
      </c>
      <c r="G544" s="31">
        <v>0.91666666666666663</v>
      </c>
    </row>
    <row r="545" spans="2:7">
      <c r="B545" s="2">
        <v>45470</v>
      </c>
      <c r="C545" s="33">
        <v>1</v>
      </c>
      <c r="D545" s="33">
        <v>0</v>
      </c>
      <c r="E545" s="33">
        <v>0</v>
      </c>
      <c r="F545" s="31">
        <v>0.41666666666666669</v>
      </c>
      <c r="G545" s="31">
        <v>0.91666666666666663</v>
      </c>
    </row>
    <row r="546" spans="2:7">
      <c r="B546" s="2">
        <v>45471</v>
      </c>
      <c r="C546" s="33">
        <v>1</v>
      </c>
      <c r="D546" s="33">
        <v>0</v>
      </c>
      <c r="E546" s="33">
        <v>0</v>
      </c>
      <c r="F546" s="31">
        <v>0.41666666666666669</v>
      </c>
      <c r="G546" s="31">
        <v>0.91666666666666663</v>
      </c>
    </row>
    <row r="547" spans="2:7">
      <c r="B547" s="2">
        <v>45472</v>
      </c>
      <c r="C547" s="33">
        <v>1</v>
      </c>
      <c r="D547" s="33">
        <v>0</v>
      </c>
      <c r="E547" s="33">
        <v>0</v>
      </c>
      <c r="F547" s="31">
        <v>0.41666666666666669</v>
      </c>
      <c r="G547" s="31">
        <v>0.91666666666666663</v>
      </c>
    </row>
    <row r="548" spans="2:7">
      <c r="B548" s="2">
        <v>45473</v>
      </c>
      <c r="C548" s="33">
        <v>1</v>
      </c>
      <c r="D548" s="33">
        <v>0</v>
      </c>
      <c r="E548" s="33">
        <v>0</v>
      </c>
      <c r="F548" s="31">
        <v>0.45833333333333331</v>
      </c>
      <c r="G548" s="31">
        <v>0.875</v>
      </c>
    </row>
    <row r="549" spans="2:7">
      <c r="B549" s="2">
        <v>45474</v>
      </c>
      <c r="C549" s="33">
        <v>1</v>
      </c>
      <c r="D549" s="33">
        <v>0</v>
      </c>
      <c r="E549" s="33">
        <v>0</v>
      </c>
      <c r="F549" s="31">
        <v>0.41666666666666669</v>
      </c>
      <c r="G549" s="31">
        <v>0.91666666666666663</v>
      </c>
    </row>
    <row r="550" spans="2:7">
      <c r="B550" s="2">
        <v>45475</v>
      </c>
      <c r="C550" s="33">
        <v>1</v>
      </c>
      <c r="D550" s="33">
        <v>0</v>
      </c>
      <c r="E550" s="33">
        <v>0</v>
      </c>
      <c r="F550" s="31">
        <v>0.41666666666666669</v>
      </c>
      <c r="G550" s="31">
        <v>0.91666666666666663</v>
      </c>
    </row>
    <row r="551" spans="2:7">
      <c r="B551" s="2">
        <v>45476</v>
      </c>
      <c r="C551" s="33">
        <v>1</v>
      </c>
      <c r="D551" s="33">
        <v>0</v>
      </c>
      <c r="E551" s="33">
        <v>0</v>
      </c>
      <c r="F551" s="31">
        <v>0.41666666666666669</v>
      </c>
      <c r="G551" s="31">
        <v>0.91666666666666663</v>
      </c>
    </row>
    <row r="552" spans="2:7">
      <c r="B552" s="2">
        <v>45477</v>
      </c>
      <c r="C552" s="33">
        <v>1</v>
      </c>
      <c r="D552" s="33">
        <v>0</v>
      </c>
      <c r="E552" s="33">
        <v>0</v>
      </c>
      <c r="F552" s="31">
        <v>0.41666666666666669</v>
      </c>
      <c r="G552" s="31">
        <v>0.91666666666666663</v>
      </c>
    </row>
    <row r="553" spans="2:7">
      <c r="B553" s="2">
        <v>45478</v>
      </c>
      <c r="C553" s="33">
        <v>1</v>
      </c>
      <c r="D553" s="33">
        <v>0</v>
      </c>
      <c r="E553" s="33">
        <v>0</v>
      </c>
      <c r="F553" s="31">
        <v>0.41666666666666669</v>
      </c>
      <c r="G553" s="31">
        <v>0.91666666666666663</v>
      </c>
    </row>
    <row r="554" spans="2:7">
      <c r="B554" s="2">
        <v>45479</v>
      </c>
      <c r="C554" s="33">
        <v>1</v>
      </c>
      <c r="D554" s="33">
        <v>0</v>
      </c>
      <c r="E554" s="33">
        <v>0</v>
      </c>
      <c r="F554" s="31">
        <v>0.41666666666666669</v>
      </c>
      <c r="G554" s="31">
        <v>0.91666666666666663</v>
      </c>
    </row>
    <row r="555" spans="2:7">
      <c r="B555" s="2">
        <v>45480</v>
      </c>
      <c r="C555" s="33">
        <v>1</v>
      </c>
      <c r="D555" s="33">
        <v>0</v>
      </c>
      <c r="E555" s="33">
        <v>0</v>
      </c>
      <c r="F555" s="31">
        <v>0.45833333333333331</v>
      </c>
      <c r="G555" s="31">
        <v>0.875</v>
      </c>
    </row>
    <row r="556" spans="2:7">
      <c r="B556" s="2">
        <v>45481</v>
      </c>
      <c r="C556" s="33">
        <v>1</v>
      </c>
      <c r="D556" s="33">
        <v>0</v>
      </c>
      <c r="E556" s="33">
        <v>0</v>
      </c>
      <c r="F556" s="31">
        <v>0.41666666666666669</v>
      </c>
      <c r="G556" s="31">
        <v>0.91666666666666663</v>
      </c>
    </row>
    <row r="557" spans="2:7">
      <c r="B557" s="2">
        <v>45482</v>
      </c>
      <c r="C557" s="33">
        <v>1</v>
      </c>
      <c r="D557" s="33">
        <v>0</v>
      </c>
      <c r="E557" s="33">
        <v>0</v>
      </c>
      <c r="F557" s="31">
        <v>0.41666666666666669</v>
      </c>
      <c r="G557" s="31">
        <v>0.91666666666666663</v>
      </c>
    </row>
    <row r="558" spans="2:7">
      <c r="B558" s="2">
        <v>45483</v>
      </c>
      <c r="C558" s="33">
        <v>1</v>
      </c>
      <c r="D558" s="33">
        <v>0</v>
      </c>
      <c r="E558" s="33">
        <v>0</v>
      </c>
      <c r="F558" s="31">
        <v>0.41666666666666669</v>
      </c>
      <c r="G558" s="31">
        <v>0.91666666666666663</v>
      </c>
    </row>
    <row r="559" spans="2:7">
      <c r="B559" s="2">
        <v>45484</v>
      </c>
      <c r="C559" s="33">
        <v>1</v>
      </c>
      <c r="D559" s="33">
        <v>0</v>
      </c>
      <c r="E559" s="33">
        <v>0</v>
      </c>
      <c r="F559" s="31">
        <v>0.41666666666666669</v>
      </c>
      <c r="G559" s="31">
        <v>0.91666666666666663</v>
      </c>
    </row>
    <row r="560" spans="2:7">
      <c r="B560" s="2">
        <v>45485</v>
      </c>
      <c r="C560" s="33">
        <v>1</v>
      </c>
      <c r="D560" s="33">
        <v>0</v>
      </c>
      <c r="E560" s="33">
        <v>0</v>
      </c>
      <c r="F560" s="31">
        <v>0.41666666666666669</v>
      </c>
      <c r="G560" s="31">
        <v>0.91666666666666663</v>
      </c>
    </row>
    <row r="561" spans="2:7">
      <c r="B561" s="2">
        <v>45486</v>
      </c>
      <c r="C561" s="33">
        <v>1</v>
      </c>
      <c r="D561" s="33">
        <v>0</v>
      </c>
      <c r="E561" s="33">
        <v>0</v>
      </c>
      <c r="F561" s="31">
        <v>0.41666666666666669</v>
      </c>
      <c r="G561" s="31">
        <v>0.91666666666666663</v>
      </c>
    </row>
    <row r="562" spans="2:7">
      <c r="B562" s="2">
        <v>45487</v>
      </c>
      <c r="C562" s="33">
        <v>1</v>
      </c>
      <c r="D562" s="33">
        <v>0</v>
      </c>
      <c r="E562" s="33">
        <v>0</v>
      </c>
      <c r="F562" s="31">
        <v>0.45833333333333331</v>
      </c>
      <c r="G562" s="31">
        <v>0.875</v>
      </c>
    </row>
    <row r="563" spans="2:7">
      <c r="B563" s="2">
        <v>45488</v>
      </c>
      <c r="C563" s="33">
        <v>1</v>
      </c>
      <c r="D563" s="33">
        <v>0</v>
      </c>
      <c r="E563" s="33">
        <v>0</v>
      </c>
      <c r="F563" s="31">
        <v>0.41666666666666669</v>
      </c>
      <c r="G563" s="31">
        <v>0.91666666666666663</v>
      </c>
    </row>
    <row r="564" spans="2:7">
      <c r="B564" s="2">
        <v>45489</v>
      </c>
      <c r="C564" s="33">
        <v>1</v>
      </c>
      <c r="D564" s="33">
        <v>0</v>
      </c>
      <c r="E564" s="33">
        <v>0</v>
      </c>
      <c r="F564" s="31">
        <v>0.41666666666666669</v>
      </c>
      <c r="G564" s="31">
        <v>0.91666666666666663</v>
      </c>
    </row>
    <row r="565" spans="2:7">
      <c r="B565" s="2">
        <v>45490</v>
      </c>
      <c r="C565" s="33">
        <v>1</v>
      </c>
      <c r="D565" s="33">
        <v>0</v>
      </c>
      <c r="E565" s="33">
        <v>0</v>
      </c>
      <c r="F565" s="31">
        <v>0.41666666666666669</v>
      </c>
      <c r="G565" s="31">
        <v>0.91666666666666663</v>
      </c>
    </row>
    <row r="566" spans="2:7">
      <c r="B566" s="2">
        <v>45491</v>
      </c>
      <c r="C566" s="33">
        <v>1</v>
      </c>
      <c r="D566" s="33">
        <v>0</v>
      </c>
      <c r="E566" s="33">
        <v>0</v>
      </c>
      <c r="F566" s="31">
        <v>0.41666666666666669</v>
      </c>
      <c r="G566" s="31">
        <v>0.91666666666666663</v>
      </c>
    </row>
    <row r="567" spans="2:7">
      <c r="B567" s="2">
        <v>45492</v>
      </c>
      <c r="C567" s="33">
        <v>1</v>
      </c>
      <c r="D567" s="33">
        <v>0</v>
      </c>
      <c r="E567" s="33">
        <v>0</v>
      </c>
      <c r="F567" s="31">
        <v>0.41666666666666669</v>
      </c>
      <c r="G567" s="31">
        <v>0.91666666666666663</v>
      </c>
    </row>
    <row r="568" spans="2:7">
      <c r="B568" s="2">
        <v>45493</v>
      </c>
      <c r="C568" s="33">
        <v>1</v>
      </c>
      <c r="D568" s="33">
        <v>0</v>
      </c>
      <c r="E568" s="33">
        <v>0</v>
      </c>
      <c r="F568" s="31">
        <v>0.41666666666666669</v>
      </c>
      <c r="G568" s="31">
        <v>0.91666666666666663</v>
      </c>
    </row>
    <row r="569" spans="2:7">
      <c r="B569" s="2">
        <v>45494</v>
      </c>
      <c r="C569" s="33">
        <v>1</v>
      </c>
      <c r="D569" s="33">
        <v>0</v>
      </c>
      <c r="E569" s="33">
        <v>0</v>
      </c>
      <c r="F569" s="31">
        <v>0.45833333333333331</v>
      </c>
      <c r="G569" s="31">
        <v>0.875</v>
      </c>
    </row>
    <row r="570" spans="2:7">
      <c r="B570" s="2">
        <v>45495</v>
      </c>
      <c r="C570" s="33">
        <v>1</v>
      </c>
      <c r="D570" s="33">
        <v>0</v>
      </c>
      <c r="E570" s="33">
        <v>0</v>
      </c>
      <c r="F570" s="31">
        <v>0.41666666666666669</v>
      </c>
      <c r="G570" s="31">
        <v>0.91666666666666663</v>
      </c>
    </row>
    <row r="571" spans="2:7">
      <c r="B571" s="2">
        <v>45496</v>
      </c>
      <c r="C571" s="33">
        <v>1</v>
      </c>
      <c r="D571" s="33">
        <v>0</v>
      </c>
      <c r="E571" s="33">
        <v>0</v>
      </c>
      <c r="F571" s="31">
        <v>0.41666666666666669</v>
      </c>
      <c r="G571" s="31">
        <v>0.91666666666666663</v>
      </c>
    </row>
    <row r="572" spans="2:7">
      <c r="B572" s="2">
        <v>45497</v>
      </c>
      <c r="C572" s="33">
        <v>1</v>
      </c>
      <c r="D572" s="33">
        <v>0</v>
      </c>
      <c r="E572" s="33">
        <v>0</v>
      </c>
      <c r="F572" s="31">
        <v>0.41666666666666669</v>
      </c>
      <c r="G572" s="31">
        <v>0.91666666666666663</v>
      </c>
    </row>
    <row r="573" spans="2:7">
      <c r="B573" s="2">
        <v>45498</v>
      </c>
      <c r="C573" s="33">
        <v>1</v>
      </c>
      <c r="D573" s="33">
        <v>0</v>
      </c>
      <c r="E573" s="33">
        <v>0</v>
      </c>
      <c r="F573" s="31">
        <v>0.41666666666666669</v>
      </c>
      <c r="G573" s="31">
        <v>0.91666666666666663</v>
      </c>
    </row>
    <row r="574" spans="2:7">
      <c r="B574" s="2">
        <v>45499</v>
      </c>
      <c r="C574" s="33">
        <v>1</v>
      </c>
      <c r="D574" s="33">
        <v>0</v>
      </c>
      <c r="E574" s="33">
        <v>0</v>
      </c>
      <c r="F574" s="31">
        <v>0.41666666666666669</v>
      </c>
      <c r="G574" s="31">
        <v>0.91666666666666663</v>
      </c>
    </row>
    <row r="575" spans="2:7">
      <c r="B575" s="2">
        <v>45500</v>
      </c>
      <c r="C575" s="33">
        <v>1</v>
      </c>
      <c r="D575" s="33">
        <v>0</v>
      </c>
      <c r="E575" s="33">
        <v>0</v>
      </c>
      <c r="F575" s="31">
        <v>0.41666666666666669</v>
      </c>
      <c r="G575" s="31">
        <v>0.91666666666666663</v>
      </c>
    </row>
    <row r="576" spans="2:7">
      <c r="B576" s="2">
        <v>45501</v>
      </c>
      <c r="C576" s="33">
        <v>1</v>
      </c>
      <c r="D576" s="33">
        <v>0</v>
      </c>
      <c r="E576" s="33">
        <v>0</v>
      </c>
      <c r="F576" s="31">
        <v>0.45833333333333331</v>
      </c>
      <c r="G576" s="31">
        <v>0.875</v>
      </c>
    </row>
    <row r="577" spans="2:7">
      <c r="B577" s="2">
        <v>45502</v>
      </c>
      <c r="C577" s="33">
        <v>1</v>
      </c>
      <c r="D577" s="33">
        <v>0</v>
      </c>
      <c r="E577" s="33">
        <v>0</v>
      </c>
      <c r="F577" s="31">
        <v>0.41666666666666669</v>
      </c>
      <c r="G577" s="31">
        <v>0.91666666666666663</v>
      </c>
    </row>
    <row r="578" spans="2:7">
      <c r="B578" s="2">
        <v>45503</v>
      </c>
      <c r="C578" s="33">
        <v>1</v>
      </c>
      <c r="D578" s="33">
        <v>0</v>
      </c>
      <c r="E578" s="33">
        <v>0</v>
      </c>
      <c r="F578" s="31">
        <v>0.41666666666666669</v>
      </c>
      <c r="G578" s="31">
        <v>0.91666666666666663</v>
      </c>
    </row>
    <row r="579" spans="2:7">
      <c r="B579" s="2">
        <v>45504</v>
      </c>
      <c r="C579" s="33">
        <v>1</v>
      </c>
      <c r="D579" s="33">
        <v>0</v>
      </c>
      <c r="E579" s="33">
        <v>0</v>
      </c>
      <c r="F579" s="31">
        <v>0.41666666666666669</v>
      </c>
      <c r="G579" s="31">
        <v>0.91666666666666663</v>
      </c>
    </row>
    <row r="580" spans="2:7">
      <c r="B580" s="2">
        <v>45505</v>
      </c>
      <c r="C580" s="33">
        <v>1</v>
      </c>
      <c r="D580" s="33">
        <v>0</v>
      </c>
      <c r="E580" s="33">
        <v>0</v>
      </c>
      <c r="F580" s="31">
        <v>0.41666666666666669</v>
      </c>
      <c r="G580" s="31">
        <v>0.91666666666666663</v>
      </c>
    </row>
    <row r="581" spans="2:7">
      <c r="B581" s="2">
        <v>45506</v>
      </c>
      <c r="C581" s="33">
        <v>1</v>
      </c>
      <c r="D581" s="33">
        <v>0</v>
      </c>
      <c r="E581" s="33">
        <v>0</v>
      </c>
      <c r="F581" s="31">
        <v>0.41666666666666669</v>
      </c>
      <c r="G581" s="31">
        <v>0.91666666666666663</v>
      </c>
    </row>
    <row r="582" spans="2:7">
      <c r="B582" s="2">
        <v>45507</v>
      </c>
      <c r="C582" s="33">
        <v>1</v>
      </c>
      <c r="D582" s="33">
        <v>0</v>
      </c>
      <c r="E582" s="33">
        <v>0</v>
      </c>
      <c r="F582" s="31">
        <v>0.41666666666666669</v>
      </c>
      <c r="G582" s="31">
        <v>0.91666666666666663</v>
      </c>
    </row>
    <row r="583" spans="2:7">
      <c r="B583" s="2">
        <v>45508</v>
      </c>
      <c r="C583" s="33">
        <v>1</v>
      </c>
      <c r="D583" s="33">
        <v>0</v>
      </c>
      <c r="E583" s="33">
        <v>0</v>
      </c>
      <c r="F583" s="31">
        <v>0.45833333333333331</v>
      </c>
      <c r="G583" s="31">
        <v>0.875</v>
      </c>
    </row>
    <row r="584" spans="2:7">
      <c r="B584" s="2">
        <v>45509</v>
      </c>
      <c r="C584" s="33">
        <v>1</v>
      </c>
      <c r="D584" s="33">
        <v>0</v>
      </c>
      <c r="E584" s="33">
        <v>0</v>
      </c>
      <c r="F584" s="31">
        <v>0.41666666666666669</v>
      </c>
      <c r="G584" s="31">
        <v>0.91666666666666663</v>
      </c>
    </row>
    <row r="585" spans="2:7">
      <c r="B585" s="2">
        <v>45510</v>
      </c>
      <c r="C585" s="33">
        <v>1</v>
      </c>
      <c r="D585" s="33">
        <v>0</v>
      </c>
      <c r="E585" s="33">
        <v>0</v>
      </c>
      <c r="F585" s="31">
        <v>0.41666666666666669</v>
      </c>
      <c r="G585" s="31">
        <v>0.91666666666666663</v>
      </c>
    </row>
    <row r="586" spans="2:7">
      <c r="B586" s="2">
        <v>45511</v>
      </c>
      <c r="C586" s="33">
        <v>1</v>
      </c>
      <c r="D586" s="33">
        <v>0</v>
      </c>
      <c r="E586" s="33">
        <v>0</v>
      </c>
      <c r="F586" s="31">
        <v>0.41666666666666669</v>
      </c>
      <c r="G586" s="31">
        <v>0.91666666666666663</v>
      </c>
    </row>
    <row r="587" spans="2:7">
      <c r="B587" s="2">
        <v>45512</v>
      </c>
      <c r="C587" s="33">
        <v>1</v>
      </c>
      <c r="D587" s="33">
        <v>0</v>
      </c>
      <c r="E587" s="33">
        <v>0</v>
      </c>
      <c r="F587" s="31">
        <v>0.41666666666666669</v>
      </c>
      <c r="G587" s="31">
        <v>0.91666666666666663</v>
      </c>
    </row>
    <row r="588" spans="2:7">
      <c r="B588" s="2">
        <v>45513</v>
      </c>
      <c r="C588" s="33">
        <v>1</v>
      </c>
      <c r="D588" s="33">
        <v>0</v>
      </c>
      <c r="E588" s="33">
        <v>0</v>
      </c>
      <c r="F588" s="31">
        <v>0.41666666666666669</v>
      </c>
      <c r="G588" s="31">
        <v>0.91666666666666663</v>
      </c>
    </row>
    <row r="589" spans="2:7">
      <c r="B589" s="2">
        <v>45514</v>
      </c>
      <c r="C589" s="33">
        <v>1</v>
      </c>
      <c r="D589" s="33">
        <v>0</v>
      </c>
      <c r="E589" s="33">
        <v>0</v>
      </c>
      <c r="F589" s="31">
        <v>0.41666666666666669</v>
      </c>
      <c r="G589" s="31">
        <v>0.91666666666666663</v>
      </c>
    </row>
    <row r="590" spans="2:7">
      <c r="B590" s="2">
        <v>45515</v>
      </c>
      <c r="C590" s="33">
        <v>1</v>
      </c>
      <c r="D590" s="33">
        <v>0</v>
      </c>
      <c r="E590" s="33">
        <v>0</v>
      </c>
      <c r="F590" s="31">
        <v>0.45833333333333331</v>
      </c>
      <c r="G590" s="31">
        <v>0.875</v>
      </c>
    </row>
    <row r="591" spans="2:7">
      <c r="B591" s="2">
        <v>45516</v>
      </c>
      <c r="C591" s="33">
        <v>1</v>
      </c>
      <c r="D591" s="33">
        <v>0</v>
      </c>
      <c r="E591" s="33">
        <v>0</v>
      </c>
      <c r="F591" s="31">
        <v>0.41666666666666669</v>
      </c>
      <c r="G591" s="31">
        <v>0.91666666666666663</v>
      </c>
    </row>
    <row r="592" spans="2:7">
      <c r="B592" s="2">
        <v>45517</v>
      </c>
      <c r="C592" s="33">
        <v>1</v>
      </c>
      <c r="D592" s="33">
        <v>0</v>
      </c>
      <c r="E592" s="33">
        <v>0</v>
      </c>
      <c r="F592" s="31">
        <v>0.41666666666666669</v>
      </c>
      <c r="G592" s="31">
        <v>0.91666666666666663</v>
      </c>
    </row>
    <row r="593" spans="2:7">
      <c r="B593" s="2">
        <v>45518</v>
      </c>
      <c r="C593" s="33">
        <v>1</v>
      </c>
      <c r="D593" s="33">
        <v>0</v>
      </c>
      <c r="E593" s="33">
        <v>0</v>
      </c>
      <c r="F593" s="31">
        <v>0.41666666666666669</v>
      </c>
      <c r="G593" s="31">
        <v>0.91666666666666663</v>
      </c>
    </row>
    <row r="594" spans="2:7">
      <c r="B594" s="2">
        <v>45519</v>
      </c>
      <c r="C594" s="33">
        <v>0</v>
      </c>
      <c r="D594" s="33">
        <v>1</v>
      </c>
      <c r="E594" s="33">
        <v>0</v>
      </c>
    </row>
    <row r="595" spans="2:7">
      <c r="B595" s="2">
        <v>45520</v>
      </c>
      <c r="C595" s="33">
        <v>1</v>
      </c>
      <c r="D595" s="33">
        <v>0</v>
      </c>
      <c r="E595" s="33">
        <v>1</v>
      </c>
      <c r="F595" s="31">
        <v>0.41666666666666669</v>
      </c>
      <c r="G595" s="31">
        <v>0.91666666666666663</v>
      </c>
    </row>
    <row r="596" spans="2:7">
      <c r="B596" s="2">
        <v>45521</v>
      </c>
      <c r="C596" s="33">
        <v>1</v>
      </c>
      <c r="D596" s="33">
        <v>0</v>
      </c>
      <c r="E596" s="33">
        <v>0</v>
      </c>
      <c r="F596" s="31">
        <v>0.41666666666666669</v>
      </c>
      <c r="G596" s="31">
        <v>0.91666666666666663</v>
      </c>
    </row>
    <row r="597" spans="2:7">
      <c r="B597" s="2">
        <v>45522</v>
      </c>
      <c r="C597" s="33">
        <v>1</v>
      </c>
      <c r="D597" s="33">
        <v>0</v>
      </c>
      <c r="E597" s="33">
        <v>0</v>
      </c>
      <c r="F597" s="31">
        <v>0.45833333333333331</v>
      </c>
      <c r="G597" s="31">
        <v>0.875</v>
      </c>
    </row>
    <row r="598" spans="2:7">
      <c r="B598" s="2">
        <v>45523</v>
      </c>
      <c r="C598" s="33">
        <v>1</v>
      </c>
      <c r="D598" s="33">
        <v>0</v>
      </c>
      <c r="E598" s="33">
        <v>0</v>
      </c>
      <c r="F598" s="31">
        <v>0.41666666666666669</v>
      </c>
      <c r="G598" s="31">
        <v>0.91666666666666663</v>
      </c>
    </row>
    <row r="599" spans="2:7">
      <c r="B599" s="2">
        <v>45524</v>
      </c>
      <c r="C599" s="33">
        <v>1</v>
      </c>
      <c r="D599" s="33">
        <v>0</v>
      </c>
      <c r="E599" s="33">
        <v>0</v>
      </c>
      <c r="F599" s="31">
        <v>0.41666666666666669</v>
      </c>
      <c r="G599" s="31">
        <v>0.91666666666666663</v>
      </c>
    </row>
    <row r="600" spans="2:7">
      <c r="B600" s="2">
        <v>45525</v>
      </c>
      <c r="C600" s="33">
        <v>1</v>
      </c>
      <c r="D600" s="33">
        <v>0</v>
      </c>
      <c r="E600" s="33">
        <v>0</v>
      </c>
      <c r="F600" s="31">
        <v>0.41666666666666669</v>
      </c>
      <c r="G600" s="31">
        <v>0.91666666666666663</v>
      </c>
    </row>
    <row r="601" spans="2:7">
      <c r="B601" s="2">
        <v>45526</v>
      </c>
      <c r="C601" s="33">
        <v>1</v>
      </c>
      <c r="D601" s="33">
        <v>0</v>
      </c>
      <c r="E601" s="33">
        <v>0</v>
      </c>
      <c r="F601" s="31">
        <v>0.41666666666666669</v>
      </c>
      <c r="G601" s="31">
        <v>0.91666666666666663</v>
      </c>
    </row>
    <row r="602" spans="2:7">
      <c r="B602" s="2">
        <v>45527</v>
      </c>
      <c r="C602" s="33">
        <v>1</v>
      </c>
      <c r="D602" s="33">
        <v>0</v>
      </c>
      <c r="E602" s="33">
        <v>0</v>
      </c>
      <c r="F602" s="31">
        <v>0.41666666666666669</v>
      </c>
      <c r="G602" s="31">
        <v>0.91666666666666663</v>
      </c>
    </row>
    <row r="603" spans="2:7">
      <c r="B603" s="2">
        <v>45528</v>
      </c>
      <c r="C603" s="33">
        <v>1</v>
      </c>
      <c r="D603" s="33">
        <v>0</v>
      </c>
      <c r="E603" s="33">
        <v>0</v>
      </c>
      <c r="F603" s="31">
        <v>0.41666666666666669</v>
      </c>
      <c r="G603" s="31">
        <v>0.91666666666666663</v>
      </c>
    </row>
    <row r="604" spans="2:7">
      <c r="B604" s="2">
        <v>45529</v>
      </c>
      <c r="C604" s="33">
        <v>1</v>
      </c>
      <c r="D604" s="33">
        <v>0</v>
      </c>
      <c r="E604" s="33">
        <v>0</v>
      </c>
      <c r="F604" s="31">
        <v>0.45833333333333331</v>
      </c>
      <c r="G604" s="31">
        <v>0.875</v>
      </c>
    </row>
    <row r="605" spans="2:7">
      <c r="B605" s="2">
        <v>45530</v>
      </c>
      <c r="C605" s="33">
        <v>1</v>
      </c>
      <c r="D605" s="33">
        <v>0</v>
      </c>
      <c r="E605" s="33">
        <v>0</v>
      </c>
      <c r="F605" s="31">
        <v>0.41666666666666669</v>
      </c>
      <c r="G605" s="31">
        <v>0.91666666666666663</v>
      </c>
    </row>
    <row r="606" spans="2:7">
      <c r="B606" s="2">
        <v>45531</v>
      </c>
      <c r="C606" s="33">
        <v>1</v>
      </c>
      <c r="D606" s="33">
        <v>0</v>
      </c>
      <c r="E606" s="33">
        <v>0</v>
      </c>
      <c r="F606" s="31">
        <v>0.41666666666666669</v>
      </c>
      <c r="G606" s="31">
        <v>0.91666666666666663</v>
      </c>
    </row>
    <row r="607" spans="2:7">
      <c r="B607" s="2">
        <v>45532</v>
      </c>
      <c r="C607" s="33">
        <v>1</v>
      </c>
      <c r="D607" s="33">
        <v>0</v>
      </c>
      <c r="E607" s="33">
        <v>0</v>
      </c>
      <c r="F607" s="31">
        <v>0.41666666666666669</v>
      </c>
      <c r="G607" s="31">
        <v>0.91666666666666663</v>
      </c>
    </row>
    <row r="608" spans="2:7">
      <c r="B608" s="2">
        <v>45533</v>
      </c>
      <c r="C608" s="33">
        <v>1</v>
      </c>
      <c r="D608" s="33">
        <v>0</v>
      </c>
      <c r="E608" s="33">
        <v>0</v>
      </c>
      <c r="F608" s="31">
        <v>0.41666666666666669</v>
      </c>
      <c r="G608" s="31">
        <v>0.91666666666666663</v>
      </c>
    </row>
    <row r="609" spans="2:7">
      <c r="B609" s="2">
        <v>45534</v>
      </c>
      <c r="C609" s="33">
        <v>1</v>
      </c>
      <c r="D609" s="33">
        <v>0</v>
      </c>
      <c r="E609" s="33">
        <v>0</v>
      </c>
      <c r="F609" s="31">
        <v>0.41666666666666669</v>
      </c>
      <c r="G609" s="31">
        <v>0.91666666666666663</v>
      </c>
    </row>
    <row r="610" spans="2:7">
      <c r="B610" s="2">
        <v>45535</v>
      </c>
      <c r="C610" s="33">
        <v>1</v>
      </c>
      <c r="D610" s="33">
        <v>0</v>
      </c>
      <c r="E610" s="33">
        <v>0</v>
      </c>
      <c r="F610" s="31">
        <v>0.41666666666666669</v>
      </c>
      <c r="G610" s="31">
        <v>0.91666666666666663</v>
      </c>
    </row>
    <row r="611" spans="2:7">
      <c r="B611" s="2">
        <v>45536</v>
      </c>
      <c r="C611" s="33">
        <v>1</v>
      </c>
      <c r="D611" s="33">
        <v>0</v>
      </c>
      <c r="E611" s="33">
        <v>0</v>
      </c>
      <c r="F611" s="31">
        <v>0.45833333333333331</v>
      </c>
      <c r="G611" s="31">
        <v>0.875</v>
      </c>
    </row>
    <row r="612" spans="2:7">
      <c r="B612" s="2">
        <v>45537</v>
      </c>
      <c r="C612" s="33">
        <v>1</v>
      </c>
      <c r="D612" s="33">
        <v>0</v>
      </c>
      <c r="E612" s="33">
        <v>0</v>
      </c>
      <c r="F612" s="31">
        <v>0.41666666666666669</v>
      </c>
      <c r="G612" s="31">
        <v>0.91666666666666663</v>
      </c>
    </row>
    <row r="613" spans="2:7">
      <c r="B613" s="2">
        <v>45538</v>
      </c>
      <c r="C613" s="33">
        <v>1</v>
      </c>
      <c r="D613" s="33">
        <v>0</v>
      </c>
      <c r="E613" s="33">
        <v>0</v>
      </c>
      <c r="F613" s="31">
        <v>0.41666666666666669</v>
      </c>
      <c r="G613" s="31">
        <v>0.91666666666666663</v>
      </c>
    </row>
    <row r="614" spans="2:7">
      <c r="B614" s="2">
        <v>45539</v>
      </c>
      <c r="C614" s="33">
        <v>1</v>
      </c>
      <c r="D614" s="33">
        <v>0</v>
      </c>
      <c r="E614" s="33">
        <v>0</v>
      </c>
      <c r="F614" s="31">
        <v>0.41666666666666669</v>
      </c>
      <c r="G614" s="31">
        <v>0.91666666666666663</v>
      </c>
    </row>
    <row r="615" spans="2:7">
      <c r="B615" s="2">
        <v>45540</v>
      </c>
      <c r="C615" s="33">
        <v>1</v>
      </c>
      <c r="D615" s="33">
        <v>0</v>
      </c>
      <c r="E615" s="33">
        <v>0</v>
      </c>
      <c r="F615" s="31">
        <v>0.41666666666666669</v>
      </c>
      <c r="G615" s="31">
        <v>0.91666666666666663</v>
      </c>
    </row>
    <row r="616" spans="2:7">
      <c r="B616" s="2">
        <v>45541</v>
      </c>
      <c r="C616" s="33">
        <v>1</v>
      </c>
      <c r="D616" s="33">
        <v>0</v>
      </c>
      <c r="E616" s="33">
        <v>0</v>
      </c>
      <c r="F616" s="31">
        <v>0.41666666666666669</v>
      </c>
      <c r="G616" s="31">
        <v>0.91666666666666663</v>
      </c>
    </row>
    <row r="617" spans="2:7">
      <c r="B617" s="2">
        <v>45542</v>
      </c>
      <c r="C617" s="33">
        <v>1</v>
      </c>
      <c r="D617" s="33">
        <v>0</v>
      </c>
      <c r="E617" s="33">
        <v>0</v>
      </c>
      <c r="F617" s="31">
        <v>0.41666666666666669</v>
      </c>
      <c r="G617" s="31">
        <v>0.91666666666666663</v>
      </c>
    </row>
    <row r="618" spans="2:7">
      <c r="B618" s="2">
        <v>45543</v>
      </c>
      <c r="C618" s="33">
        <v>1</v>
      </c>
      <c r="D618" s="33">
        <v>0</v>
      </c>
      <c r="E618" s="33">
        <v>0</v>
      </c>
      <c r="F618" s="31">
        <v>0.45833333333333331</v>
      </c>
      <c r="G618" s="31">
        <v>0.875</v>
      </c>
    </row>
    <row r="619" spans="2:7">
      <c r="B619" s="2">
        <v>45544</v>
      </c>
      <c r="C619" s="33">
        <v>1</v>
      </c>
      <c r="D619" s="33">
        <v>0</v>
      </c>
      <c r="E619" s="33">
        <v>0</v>
      </c>
      <c r="F619" s="31">
        <v>0.41666666666666669</v>
      </c>
      <c r="G619" s="31">
        <v>0.91666666666666663</v>
      </c>
    </row>
    <row r="620" spans="2:7">
      <c r="B620" s="2">
        <v>45545</v>
      </c>
      <c r="C620" s="33">
        <v>1</v>
      </c>
      <c r="D620" s="33">
        <v>0</v>
      </c>
      <c r="E620" s="33">
        <v>0</v>
      </c>
      <c r="F620" s="31">
        <v>0.41666666666666669</v>
      </c>
      <c r="G620" s="31">
        <v>0.91666666666666663</v>
      </c>
    </row>
    <row r="621" spans="2:7">
      <c r="B621" s="2">
        <v>45546</v>
      </c>
      <c r="C621" s="33">
        <v>1</v>
      </c>
      <c r="D621" s="33">
        <v>0</v>
      </c>
      <c r="E621" s="33">
        <v>0</v>
      </c>
      <c r="F621" s="31">
        <v>0.41666666666666669</v>
      </c>
      <c r="G621" s="31">
        <v>0.91666666666666663</v>
      </c>
    </row>
    <row r="622" spans="2:7">
      <c r="B622" s="2">
        <v>45547</v>
      </c>
      <c r="C622" s="33">
        <v>1</v>
      </c>
      <c r="D622" s="33">
        <v>0</v>
      </c>
      <c r="E622" s="33">
        <v>0</v>
      </c>
      <c r="F622" s="31">
        <v>0.41666666666666669</v>
      </c>
      <c r="G622" s="31">
        <v>0.91666666666666663</v>
      </c>
    </row>
    <row r="623" spans="2:7">
      <c r="B623" s="2">
        <v>45548</v>
      </c>
      <c r="C623" s="33">
        <v>1</v>
      </c>
      <c r="D623" s="33">
        <v>0</v>
      </c>
      <c r="E623" s="33">
        <v>0</v>
      </c>
      <c r="F623" s="31">
        <v>0.41666666666666669</v>
      </c>
      <c r="G623" s="31">
        <v>0.91666666666666663</v>
      </c>
    </row>
    <row r="624" spans="2:7">
      <c r="B624" s="2">
        <v>45549</v>
      </c>
      <c r="C624" s="33">
        <v>1</v>
      </c>
      <c r="D624" s="33">
        <v>0</v>
      </c>
      <c r="E624" s="33">
        <v>0</v>
      </c>
      <c r="F624" s="31">
        <v>0.41666666666666669</v>
      </c>
      <c r="G624" s="31">
        <v>0.91666666666666663</v>
      </c>
    </row>
    <row r="625" spans="2:7">
      <c r="B625" s="2">
        <v>45550</v>
      </c>
      <c r="C625" s="33">
        <v>1</v>
      </c>
      <c r="D625" s="33">
        <v>0</v>
      </c>
      <c r="E625" s="33">
        <v>0</v>
      </c>
      <c r="F625" s="31">
        <v>0.45833333333333331</v>
      </c>
      <c r="G625" s="31">
        <v>0.875</v>
      </c>
    </row>
    <row r="626" spans="2:7">
      <c r="B626" s="2">
        <v>45551</v>
      </c>
      <c r="C626" s="33">
        <v>1</v>
      </c>
      <c r="D626" s="33">
        <v>0</v>
      </c>
      <c r="E626" s="33">
        <v>0</v>
      </c>
      <c r="F626" s="31">
        <v>0.41666666666666669</v>
      </c>
      <c r="G626" s="31">
        <v>0.91666666666666663</v>
      </c>
    </row>
    <row r="627" spans="2:7">
      <c r="B627" s="2">
        <v>45552</v>
      </c>
      <c r="C627" s="33">
        <v>1</v>
      </c>
      <c r="D627" s="33">
        <v>0</v>
      </c>
      <c r="E627" s="33">
        <v>0</v>
      </c>
      <c r="F627" s="31">
        <v>0.41666666666666669</v>
      </c>
      <c r="G627" s="31">
        <v>0.91666666666666663</v>
      </c>
    </row>
    <row r="628" spans="2:7">
      <c r="B628" s="2">
        <v>45553</v>
      </c>
      <c r="C628" s="33">
        <v>1</v>
      </c>
      <c r="D628" s="33">
        <v>0</v>
      </c>
      <c r="E628" s="33">
        <v>0</v>
      </c>
      <c r="F628" s="31">
        <v>0.41666666666666669</v>
      </c>
      <c r="G628" s="31">
        <v>0.91666666666666663</v>
      </c>
    </row>
    <row r="629" spans="2:7">
      <c r="B629" s="2">
        <v>45554</v>
      </c>
      <c r="C629" s="33">
        <v>1</v>
      </c>
      <c r="D629" s="33">
        <v>0</v>
      </c>
      <c r="E629" s="33">
        <v>0</v>
      </c>
      <c r="F629" s="31">
        <v>0.41666666666666669</v>
      </c>
      <c r="G629" s="31">
        <v>0.91666666666666663</v>
      </c>
    </row>
    <row r="630" spans="2:7">
      <c r="B630" s="2">
        <v>45555</v>
      </c>
      <c r="C630" s="33">
        <v>1</v>
      </c>
      <c r="D630" s="33">
        <v>0</v>
      </c>
      <c r="E630" s="33">
        <v>0</v>
      </c>
      <c r="F630" s="31">
        <v>0.41666666666666669</v>
      </c>
      <c r="G630" s="31">
        <v>0.91666666666666663</v>
      </c>
    </row>
    <row r="631" spans="2:7">
      <c r="B631" s="2">
        <v>45556</v>
      </c>
      <c r="C631" s="33">
        <v>1</v>
      </c>
      <c r="D631" s="33">
        <v>0</v>
      </c>
      <c r="E631" s="33">
        <v>0</v>
      </c>
      <c r="F631" s="31">
        <v>0.41666666666666669</v>
      </c>
      <c r="G631" s="31">
        <v>0.91666666666666663</v>
      </c>
    </row>
    <row r="632" spans="2:7">
      <c r="B632" s="2">
        <v>45557</v>
      </c>
      <c r="C632" s="33">
        <v>1</v>
      </c>
      <c r="D632" s="33">
        <v>0</v>
      </c>
      <c r="E632" s="33">
        <v>0</v>
      </c>
      <c r="F632" s="31">
        <v>0.45833333333333331</v>
      </c>
      <c r="G632" s="31">
        <v>0.875</v>
      </c>
    </row>
    <row r="633" spans="2:7">
      <c r="B633" s="2">
        <v>45558</v>
      </c>
      <c r="C633" s="33">
        <v>1</v>
      </c>
      <c r="D633" s="33">
        <v>0</v>
      </c>
      <c r="E633" s="33">
        <v>0</v>
      </c>
      <c r="F633" s="31">
        <v>0.41666666666666669</v>
      </c>
      <c r="G633" s="31">
        <v>0.91666666666666663</v>
      </c>
    </row>
    <row r="634" spans="2:7">
      <c r="B634" s="2">
        <v>45559</v>
      </c>
      <c r="C634" s="33">
        <v>1</v>
      </c>
      <c r="D634" s="33">
        <v>0</v>
      </c>
      <c r="E634" s="33">
        <v>0</v>
      </c>
      <c r="F634" s="31">
        <v>0.41666666666666669</v>
      </c>
      <c r="G634" s="31">
        <v>0.91666666666666663</v>
      </c>
    </row>
    <row r="635" spans="2:7">
      <c r="B635" s="2">
        <v>45560</v>
      </c>
      <c r="C635" s="33">
        <v>1</v>
      </c>
      <c r="D635" s="33">
        <v>0</v>
      </c>
      <c r="E635" s="33">
        <v>0</v>
      </c>
      <c r="F635" s="31">
        <v>0.41666666666666669</v>
      </c>
      <c r="G635" s="31">
        <v>0.91666666666666663</v>
      </c>
    </row>
    <row r="636" spans="2:7">
      <c r="B636" s="2">
        <v>45561</v>
      </c>
      <c r="C636" s="33">
        <v>1</v>
      </c>
      <c r="D636" s="33">
        <v>0</v>
      </c>
      <c r="E636" s="33">
        <v>0</v>
      </c>
      <c r="F636" s="31">
        <v>0.41666666666666669</v>
      </c>
      <c r="G636" s="31">
        <v>0.91666666666666663</v>
      </c>
    </row>
    <row r="637" spans="2:7">
      <c r="B637" s="2">
        <v>45562</v>
      </c>
      <c r="C637" s="33">
        <v>1</v>
      </c>
      <c r="D637" s="33">
        <v>0</v>
      </c>
      <c r="E637" s="33">
        <v>0</v>
      </c>
      <c r="F637" s="31">
        <v>0.41666666666666669</v>
      </c>
      <c r="G637" s="31">
        <v>0.91666666666666663</v>
      </c>
    </row>
    <row r="638" spans="2:7">
      <c r="B638" s="2">
        <v>45563</v>
      </c>
      <c r="C638" s="33">
        <v>1</v>
      </c>
      <c r="D638" s="33">
        <v>0</v>
      </c>
      <c r="E638" s="33">
        <v>0</v>
      </c>
      <c r="F638" s="31">
        <v>0.41666666666666669</v>
      </c>
      <c r="G638" s="31">
        <v>0.91666666666666663</v>
      </c>
    </row>
    <row r="639" spans="2:7">
      <c r="B639" s="2">
        <v>45564</v>
      </c>
      <c r="C639" s="33">
        <v>1</v>
      </c>
      <c r="D639" s="33">
        <v>0</v>
      </c>
      <c r="E639" s="33">
        <v>0</v>
      </c>
      <c r="F639" s="31">
        <v>0.45833333333333331</v>
      </c>
      <c r="G639" s="31">
        <v>0.875</v>
      </c>
    </row>
    <row r="640" spans="2:7">
      <c r="B640" s="2">
        <v>45565</v>
      </c>
      <c r="C640" s="33">
        <v>1</v>
      </c>
      <c r="D640" s="33">
        <v>0</v>
      </c>
      <c r="E640" s="33">
        <v>0</v>
      </c>
      <c r="F640" s="31">
        <v>0.41666666666666669</v>
      </c>
      <c r="G640" s="31">
        <v>0.91666666666666663</v>
      </c>
    </row>
    <row r="641" spans="2:7">
      <c r="B641" s="2">
        <v>45566</v>
      </c>
      <c r="C641" s="33">
        <v>1</v>
      </c>
      <c r="D641" s="33">
        <v>0</v>
      </c>
      <c r="E641" s="33">
        <v>0</v>
      </c>
      <c r="F641" s="31">
        <v>0.41666666666666669</v>
      </c>
      <c r="G641" s="31">
        <v>0.91666666666666663</v>
      </c>
    </row>
    <row r="642" spans="2:7">
      <c r="B642" s="2">
        <v>45567</v>
      </c>
      <c r="C642" s="33">
        <v>1</v>
      </c>
      <c r="D642" s="33">
        <v>0</v>
      </c>
      <c r="E642" s="33">
        <v>0</v>
      </c>
      <c r="F642" s="31">
        <v>0.41666666666666669</v>
      </c>
      <c r="G642" s="31">
        <v>0.91666666666666663</v>
      </c>
    </row>
    <row r="643" spans="2:7">
      <c r="B643" s="2">
        <v>45568</v>
      </c>
      <c r="C643" s="33">
        <v>1</v>
      </c>
      <c r="D643" s="33">
        <v>0</v>
      </c>
      <c r="E643" s="33">
        <v>0</v>
      </c>
      <c r="F643" s="31">
        <v>0.41666666666666669</v>
      </c>
      <c r="G643" s="31">
        <v>0.91666666666666663</v>
      </c>
    </row>
    <row r="644" spans="2:7">
      <c r="B644" s="2">
        <v>45569</v>
      </c>
      <c r="C644" s="33">
        <v>1</v>
      </c>
      <c r="D644" s="33">
        <v>0</v>
      </c>
      <c r="E644" s="33">
        <v>0</v>
      </c>
      <c r="F644" s="31">
        <v>0.41666666666666669</v>
      </c>
      <c r="G644" s="31">
        <v>0.91666666666666663</v>
      </c>
    </row>
    <row r="645" spans="2:7">
      <c r="B645" s="2">
        <v>45570</v>
      </c>
      <c r="C645" s="33">
        <v>1</v>
      </c>
      <c r="D645" s="33">
        <v>0</v>
      </c>
      <c r="E645" s="33">
        <v>0</v>
      </c>
      <c r="F645" s="31">
        <v>0.41666666666666669</v>
      </c>
      <c r="G645" s="31">
        <v>0.91666666666666663</v>
      </c>
    </row>
    <row r="646" spans="2:7">
      <c r="B646" s="2">
        <v>45571</v>
      </c>
      <c r="C646" s="33">
        <v>1</v>
      </c>
      <c r="D646" s="33">
        <v>0</v>
      </c>
      <c r="E646" s="33">
        <v>0</v>
      </c>
      <c r="F646" s="31">
        <v>0.45833333333333331</v>
      </c>
      <c r="G646" s="31">
        <v>0.875</v>
      </c>
    </row>
    <row r="647" spans="2:7">
      <c r="B647" s="2">
        <v>45572</v>
      </c>
      <c r="C647" s="33">
        <v>1</v>
      </c>
      <c r="D647" s="33">
        <v>0</v>
      </c>
      <c r="E647" s="33">
        <v>0</v>
      </c>
      <c r="F647" s="31">
        <v>0.41666666666666669</v>
      </c>
      <c r="G647" s="31">
        <v>0.91666666666666663</v>
      </c>
    </row>
    <row r="648" spans="2:7">
      <c r="B648" s="2">
        <v>45573</v>
      </c>
      <c r="C648" s="33">
        <v>1</v>
      </c>
      <c r="D648" s="33">
        <v>0</v>
      </c>
      <c r="E648" s="33">
        <v>0</v>
      </c>
      <c r="F648" s="31">
        <v>0.41666666666666669</v>
      </c>
      <c r="G648" s="31">
        <v>0.91666666666666663</v>
      </c>
    </row>
    <row r="649" spans="2:7">
      <c r="B649" s="2">
        <v>45574</v>
      </c>
      <c r="C649" s="33">
        <v>0</v>
      </c>
      <c r="D649" s="33">
        <v>1</v>
      </c>
      <c r="E649" s="33">
        <v>0</v>
      </c>
    </row>
    <row r="650" spans="2:7">
      <c r="B650" s="2">
        <v>45575</v>
      </c>
      <c r="C650" s="33">
        <v>1</v>
      </c>
      <c r="D650" s="33">
        <v>0</v>
      </c>
      <c r="E650" s="33">
        <v>1</v>
      </c>
      <c r="F650" s="31">
        <v>0.41666666666666669</v>
      </c>
      <c r="G650" s="31">
        <v>0.91666666666666663</v>
      </c>
    </row>
    <row r="651" spans="2:7">
      <c r="B651" s="2">
        <v>45576</v>
      </c>
      <c r="C651" s="33">
        <v>1</v>
      </c>
      <c r="D651" s="33">
        <v>0</v>
      </c>
      <c r="E651" s="33">
        <v>0</v>
      </c>
      <c r="F651" s="31">
        <v>0.41666666666666669</v>
      </c>
      <c r="G651" s="31">
        <v>0.91666666666666663</v>
      </c>
    </row>
    <row r="652" spans="2:7">
      <c r="B652" s="2">
        <v>45577</v>
      </c>
      <c r="C652" s="33">
        <v>1</v>
      </c>
      <c r="D652" s="33">
        <v>0</v>
      </c>
      <c r="E652" s="33">
        <v>0</v>
      </c>
      <c r="F652" s="31">
        <v>0.45833333333333331</v>
      </c>
      <c r="G652" s="31">
        <v>0.875</v>
      </c>
    </row>
    <row r="653" spans="2:7">
      <c r="B653" s="2">
        <v>45578</v>
      </c>
      <c r="C653" s="33">
        <v>1</v>
      </c>
      <c r="D653" s="33">
        <v>0</v>
      </c>
      <c r="E653" s="33">
        <v>0</v>
      </c>
      <c r="F653" s="31">
        <v>0.45833333333333331</v>
      </c>
      <c r="G653" s="31">
        <v>0.875</v>
      </c>
    </row>
    <row r="654" spans="2:7">
      <c r="B654" s="2">
        <v>45579</v>
      </c>
      <c r="C654" s="33">
        <v>1</v>
      </c>
      <c r="D654" s="33">
        <v>0</v>
      </c>
      <c r="E654" s="33">
        <v>0</v>
      </c>
      <c r="F654" s="31">
        <v>0.41666666666666669</v>
      </c>
      <c r="G654" s="31">
        <v>0.91666666666666663</v>
      </c>
    </row>
    <row r="655" spans="2:7">
      <c r="B655" s="2">
        <v>45580</v>
      </c>
      <c r="C655" s="33">
        <v>1</v>
      </c>
      <c r="D655" s="33">
        <v>0</v>
      </c>
      <c r="E655" s="33">
        <v>0</v>
      </c>
      <c r="F655" s="31">
        <v>0.41666666666666669</v>
      </c>
      <c r="G655" s="31">
        <v>0.91666666666666663</v>
      </c>
    </row>
    <row r="656" spans="2:7">
      <c r="B656" s="2">
        <v>45581</v>
      </c>
      <c r="C656" s="33">
        <v>1</v>
      </c>
      <c r="D656" s="33">
        <v>0</v>
      </c>
      <c r="E656" s="33">
        <v>0</v>
      </c>
      <c r="F656" s="31">
        <v>0.41666666666666669</v>
      </c>
      <c r="G656" s="31">
        <v>0.91666666666666663</v>
      </c>
    </row>
    <row r="657" spans="2:7">
      <c r="B657" s="2">
        <v>45582</v>
      </c>
      <c r="C657" s="33">
        <v>1</v>
      </c>
      <c r="D657" s="33">
        <v>0</v>
      </c>
      <c r="E657" s="33">
        <v>0</v>
      </c>
      <c r="F657" s="31">
        <v>0.41666666666666669</v>
      </c>
      <c r="G657" s="31">
        <v>0.91666666666666663</v>
      </c>
    </row>
    <row r="658" spans="2:7">
      <c r="B658" s="2">
        <v>45583</v>
      </c>
      <c r="C658" s="33">
        <v>1</v>
      </c>
      <c r="D658" s="33">
        <v>0</v>
      </c>
      <c r="E658" s="33">
        <v>0</v>
      </c>
      <c r="F658" s="31">
        <v>0.41666666666666669</v>
      </c>
      <c r="G658" s="31">
        <v>0.91666666666666663</v>
      </c>
    </row>
    <row r="659" spans="2:7">
      <c r="B659" s="2">
        <v>45584</v>
      </c>
      <c r="C659" s="33">
        <v>1</v>
      </c>
      <c r="D659" s="33">
        <v>0</v>
      </c>
      <c r="E659" s="33">
        <v>0</v>
      </c>
      <c r="F659" s="31">
        <v>0.41666666666666669</v>
      </c>
      <c r="G659" s="31">
        <v>0.91666666666666663</v>
      </c>
    </row>
    <row r="660" spans="2:7">
      <c r="B660" s="2">
        <v>45585</v>
      </c>
      <c r="C660" s="33">
        <v>1</v>
      </c>
      <c r="D660" s="33">
        <v>0</v>
      </c>
      <c r="E660" s="33">
        <v>0</v>
      </c>
      <c r="F660" s="31">
        <v>0.45833333333333331</v>
      </c>
      <c r="G660" s="31">
        <v>0.875</v>
      </c>
    </row>
    <row r="661" spans="2:7">
      <c r="B661" s="2">
        <v>45586</v>
      </c>
      <c r="C661" s="33">
        <v>1</v>
      </c>
      <c r="D661" s="33">
        <v>0</v>
      </c>
      <c r="E661" s="33">
        <v>0</v>
      </c>
      <c r="F661" s="31">
        <v>0.41666666666666669</v>
      </c>
      <c r="G661" s="31">
        <v>0.91666666666666663</v>
      </c>
    </row>
    <row r="662" spans="2:7">
      <c r="B662" s="2">
        <v>45587</v>
      </c>
      <c r="C662" s="33">
        <v>1</v>
      </c>
      <c r="D662" s="33">
        <v>0</v>
      </c>
      <c r="E662" s="33">
        <v>0</v>
      </c>
      <c r="F662" s="31">
        <v>0.41666666666666669</v>
      </c>
      <c r="G662" s="31">
        <v>0.91666666666666663</v>
      </c>
    </row>
    <row r="663" spans="2:7">
      <c r="B663" s="2">
        <v>45588</v>
      </c>
      <c r="C663" s="33">
        <v>1</v>
      </c>
      <c r="D663" s="33">
        <v>0</v>
      </c>
      <c r="E663" s="33">
        <v>0</v>
      </c>
      <c r="F663" s="31">
        <v>0.41666666666666669</v>
      </c>
      <c r="G663" s="31">
        <v>0.91666666666666663</v>
      </c>
    </row>
    <row r="664" spans="2:7">
      <c r="B664" s="2">
        <v>45589</v>
      </c>
      <c r="C664" s="33">
        <v>1</v>
      </c>
      <c r="D664" s="33">
        <v>0</v>
      </c>
      <c r="E664" s="33">
        <v>0</v>
      </c>
      <c r="F664" s="31">
        <v>0.41666666666666669</v>
      </c>
      <c r="G664" s="31">
        <v>0.91666666666666663</v>
      </c>
    </row>
    <row r="665" spans="2:7">
      <c r="B665" s="2">
        <v>45590</v>
      </c>
      <c r="C665" s="33">
        <v>1</v>
      </c>
      <c r="D665" s="33">
        <v>0</v>
      </c>
      <c r="E665" s="33">
        <v>0</v>
      </c>
      <c r="F665" s="31">
        <v>0.41666666666666669</v>
      </c>
      <c r="G665" s="31">
        <v>0.91666666666666663</v>
      </c>
    </row>
    <row r="666" spans="2:7">
      <c r="B666" s="2">
        <v>45591</v>
      </c>
      <c r="C666" s="33">
        <v>1</v>
      </c>
      <c r="D666" s="33">
        <v>0</v>
      </c>
      <c r="E666" s="33">
        <v>0</v>
      </c>
      <c r="F666" s="31">
        <v>0.41666666666666669</v>
      </c>
      <c r="G666" s="31">
        <v>0.91666666666666663</v>
      </c>
    </row>
    <row r="667" spans="2:7">
      <c r="B667" s="2">
        <v>45592</v>
      </c>
      <c r="C667" s="33">
        <v>1</v>
      </c>
      <c r="D667" s="33">
        <v>0</v>
      </c>
      <c r="E667" s="33">
        <v>0</v>
      </c>
      <c r="F667" s="31">
        <v>0.45833333333333331</v>
      </c>
      <c r="G667" s="31">
        <v>0.875</v>
      </c>
    </row>
    <row r="668" spans="2:7">
      <c r="B668" s="2">
        <v>45593</v>
      </c>
      <c r="C668" s="33">
        <v>1</v>
      </c>
      <c r="D668" s="33">
        <v>0</v>
      </c>
      <c r="E668" s="33">
        <v>0</v>
      </c>
      <c r="F668" s="31">
        <v>0.41666666666666669</v>
      </c>
      <c r="G668" s="31">
        <v>0.91666666666666663</v>
      </c>
    </row>
    <row r="669" spans="2:7">
      <c r="B669" s="2">
        <v>45594</v>
      </c>
      <c r="C669" s="33">
        <v>1</v>
      </c>
      <c r="D669" s="33">
        <v>0</v>
      </c>
      <c r="E669" s="33">
        <v>0</v>
      </c>
      <c r="F669" s="31">
        <v>0.41666666666666669</v>
      </c>
      <c r="G669" s="31">
        <v>0.91666666666666663</v>
      </c>
    </row>
    <row r="670" spans="2:7">
      <c r="B670" s="2">
        <v>45595</v>
      </c>
      <c r="C670" s="33">
        <v>1</v>
      </c>
      <c r="D670" s="33">
        <v>0</v>
      </c>
      <c r="E670" s="33">
        <v>0</v>
      </c>
      <c r="F670" s="31">
        <v>0.41666666666666669</v>
      </c>
      <c r="G670" s="31">
        <v>0.91666666666666663</v>
      </c>
    </row>
    <row r="671" spans="2:7">
      <c r="B671" s="2">
        <v>45596</v>
      </c>
      <c r="C671" s="33">
        <v>1</v>
      </c>
      <c r="D671" s="33">
        <v>0</v>
      </c>
      <c r="E671" s="33">
        <v>0</v>
      </c>
      <c r="F671" s="31">
        <v>0.41666666666666669</v>
      </c>
      <c r="G671" s="31">
        <v>0.91666666666666663</v>
      </c>
    </row>
    <row r="672" spans="2:7">
      <c r="B672" s="2">
        <v>45597</v>
      </c>
      <c r="C672" s="33">
        <v>1</v>
      </c>
      <c r="D672" s="33">
        <v>0</v>
      </c>
      <c r="E672" s="33">
        <v>0</v>
      </c>
      <c r="F672" s="31">
        <v>0.45833333333333331</v>
      </c>
      <c r="G672" s="31">
        <v>0.875</v>
      </c>
    </row>
    <row r="673" spans="2:7">
      <c r="B673" s="2">
        <v>45598</v>
      </c>
      <c r="C673" s="33">
        <v>1</v>
      </c>
      <c r="D673" s="33">
        <v>0</v>
      </c>
      <c r="E673" s="33">
        <v>0</v>
      </c>
      <c r="F673" s="31">
        <v>0.41666666666666669</v>
      </c>
      <c r="G673" s="31">
        <v>0.91666666666666663</v>
      </c>
    </row>
    <row r="674" spans="2:7">
      <c r="B674" s="2">
        <v>45599</v>
      </c>
      <c r="C674" s="33">
        <v>1</v>
      </c>
      <c r="D674" s="33">
        <v>0</v>
      </c>
      <c r="E674" s="33">
        <v>0</v>
      </c>
      <c r="F674" s="31">
        <v>0.45833333333333331</v>
      </c>
      <c r="G674" s="31">
        <v>0.875</v>
      </c>
    </row>
    <row r="675" spans="2:7">
      <c r="B675" s="2">
        <v>45600</v>
      </c>
      <c r="C675" s="33">
        <v>1</v>
      </c>
      <c r="D675" s="33">
        <v>0</v>
      </c>
      <c r="E675" s="33">
        <v>0</v>
      </c>
      <c r="F675" s="31">
        <v>0.41666666666666669</v>
      </c>
      <c r="G675" s="31">
        <v>0.91666666666666663</v>
      </c>
    </row>
    <row r="676" spans="2:7">
      <c r="B676" s="2">
        <v>45601</v>
      </c>
      <c r="C676" s="33">
        <v>1</v>
      </c>
      <c r="D676" s="33">
        <v>0</v>
      </c>
      <c r="E676" s="33">
        <v>0</v>
      </c>
      <c r="F676" s="31">
        <v>0.41666666666666669</v>
      </c>
      <c r="G676" s="31">
        <v>0.91666666666666663</v>
      </c>
    </row>
    <row r="677" spans="2:7">
      <c r="B677" s="2">
        <v>45602</v>
      </c>
      <c r="C677" s="33">
        <v>1</v>
      </c>
      <c r="D677" s="33">
        <v>0</v>
      </c>
      <c r="E677" s="33">
        <v>0</v>
      </c>
      <c r="F677" s="31">
        <v>0.41666666666666669</v>
      </c>
      <c r="G677" s="31">
        <v>0.91666666666666663</v>
      </c>
    </row>
    <row r="678" spans="2:7">
      <c r="B678" s="2">
        <v>45603</v>
      </c>
      <c r="C678" s="33">
        <v>1</v>
      </c>
      <c r="D678" s="33">
        <v>0</v>
      </c>
      <c r="E678" s="33">
        <v>0</v>
      </c>
      <c r="F678" s="31">
        <v>0.41666666666666669</v>
      </c>
      <c r="G678" s="31">
        <v>0.91666666666666663</v>
      </c>
    </row>
    <row r="679" spans="2:7">
      <c r="B679" s="2">
        <v>45604</v>
      </c>
      <c r="C679" s="33">
        <v>1</v>
      </c>
      <c r="D679" s="33">
        <v>0</v>
      </c>
      <c r="E679" s="33">
        <v>0</v>
      </c>
      <c r="F679" s="31">
        <v>0.41666666666666669</v>
      </c>
      <c r="G679" s="31">
        <v>0.91666666666666663</v>
      </c>
    </row>
    <row r="680" spans="2:7">
      <c r="B680" s="2">
        <v>45605</v>
      </c>
      <c r="C680" s="33">
        <v>1</v>
      </c>
      <c r="D680" s="33">
        <v>0</v>
      </c>
      <c r="E680" s="33">
        <v>0</v>
      </c>
      <c r="F680" s="31">
        <v>0.41666666666666669</v>
      </c>
      <c r="G680" s="31">
        <v>0.91666666666666663</v>
      </c>
    </row>
    <row r="681" spans="2:7">
      <c r="B681" s="2">
        <v>45606</v>
      </c>
      <c r="C681" s="33">
        <v>1</v>
      </c>
      <c r="D681" s="33">
        <v>0</v>
      </c>
      <c r="E681" s="33">
        <v>0</v>
      </c>
      <c r="F681" s="31">
        <v>0.45833333333333331</v>
      </c>
      <c r="G681" s="31">
        <v>0.875</v>
      </c>
    </row>
    <row r="682" spans="2:7">
      <c r="B682" s="2">
        <v>45607</v>
      </c>
      <c r="C682" s="33">
        <v>1</v>
      </c>
      <c r="D682" s="33">
        <v>0</v>
      </c>
      <c r="E682" s="33">
        <v>0</v>
      </c>
      <c r="F682" s="31">
        <v>0.41666666666666669</v>
      </c>
      <c r="G682" s="31">
        <v>0.91666666666666663</v>
      </c>
    </row>
    <row r="683" spans="2:7">
      <c r="B683" s="2">
        <v>45608</v>
      </c>
      <c r="C683" s="33">
        <v>1</v>
      </c>
      <c r="D683" s="33">
        <v>0</v>
      </c>
      <c r="E683" s="33">
        <v>0</v>
      </c>
      <c r="F683" s="31">
        <v>0.41666666666666669</v>
      </c>
      <c r="G683" s="31">
        <v>0.91666666666666663</v>
      </c>
    </row>
    <row r="684" spans="2:7">
      <c r="B684" s="2">
        <v>45609</v>
      </c>
      <c r="C684" s="33">
        <v>1</v>
      </c>
      <c r="D684" s="33">
        <v>0</v>
      </c>
      <c r="E684" s="33">
        <v>0</v>
      </c>
      <c r="F684" s="31">
        <v>0.41666666666666669</v>
      </c>
      <c r="G684" s="31">
        <v>0.91666666666666663</v>
      </c>
    </row>
    <row r="685" spans="2:7">
      <c r="B685" s="2">
        <v>45610</v>
      </c>
      <c r="C685" s="33">
        <v>1</v>
      </c>
      <c r="D685" s="33">
        <v>0</v>
      </c>
      <c r="E685" s="33">
        <v>0</v>
      </c>
      <c r="F685" s="31">
        <v>0.41666666666666669</v>
      </c>
      <c r="G685" s="31">
        <v>0.91666666666666663</v>
      </c>
    </row>
    <row r="686" spans="2:7">
      <c r="B686" s="2">
        <v>45611</v>
      </c>
      <c r="C686" s="33">
        <v>1</v>
      </c>
      <c r="D686" s="33">
        <v>0</v>
      </c>
      <c r="E686" s="33">
        <v>0</v>
      </c>
      <c r="F686" s="31">
        <v>0.41666666666666669</v>
      </c>
      <c r="G686" s="31">
        <v>0.91666666666666663</v>
      </c>
    </row>
    <row r="687" spans="2:7">
      <c r="B687" s="2">
        <v>45612</v>
      </c>
      <c r="C687" s="33">
        <v>1</v>
      </c>
      <c r="D687" s="33">
        <v>0</v>
      </c>
      <c r="E687" s="33">
        <v>0</v>
      </c>
      <c r="F687" s="31">
        <v>0.41666666666666669</v>
      </c>
      <c r="G687" s="31">
        <v>0.91666666666666663</v>
      </c>
    </row>
    <row r="688" spans="2:7">
      <c r="B688" s="2">
        <v>45613</v>
      </c>
      <c r="C688" s="33">
        <v>1</v>
      </c>
      <c r="D688" s="33">
        <v>0</v>
      </c>
      <c r="E688" s="33">
        <v>0</v>
      </c>
      <c r="F688" s="31">
        <v>0.45833333333333331</v>
      </c>
      <c r="G688" s="31">
        <v>0.875</v>
      </c>
    </row>
    <row r="689" spans="2:7">
      <c r="B689" s="2">
        <v>45614</v>
      </c>
      <c r="C689" s="33">
        <v>1</v>
      </c>
      <c r="D689" s="33">
        <v>0</v>
      </c>
      <c r="E689" s="33">
        <v>0</v>
      </c>
      <c r="F689" s="31">
        <v>0.41666666666666669</v>
      </c>
      <c r="G689" s="31">
        <v>0.91666666666666663</v>
      </c>
    </row>
    <row r="690" spans="2:7">
      <c r="B690" s="2">
        <v>45615</v>
      </c>
      <c r="C690" s="33">
        <v>1</v>
      </c>
      <c r="D690" s="33">
        <v>0</v>
      </c>
      <c r="E690" s="33">
        <v>0</v>
      </c>
      <c r="F690" s="31">
        <v>0.41666666666666669</v>
      </c>
      <c r="G690" s="31">
        <v>0.91666666666666663</v>
      </c>
    </row>
    <row r="691" spans="2:7">
      <c r="B691" s="2">
        <v>45616</v>
      </c>
      <c r="C691" s="33">
        <v>1</v>
      </c>
      <c r="D691" s="33">
        <v>0</v>
      </c>
      <c r="E691" s="33">
        <v>0</v>
      </c>
      <c r="F691" s="31">
        <v>0.41666666666666669</v>
      </c>
      <c r="G691" s="31">
        <v>0.91666666666666663</v>
      </c>
    </row>
    <row r="692" spans="2:7">
      <c r="B692" s="2">
        <v>45617</v>
      </c>
      <c r="C692" s="33">
        <v>1</v>
      </c>
      <c r="D692" s="33">
        <v>0</v>
      </c>
      <c r="E692" s="33">
        <v>0</v>
      </c>
      <c r="F692" s="31">
        <v>0.41666666666666669</v>
      </c>
      <c r="G692" s="31">
        <v>0.91666666666666663</v>
      </c>
    </row>
    <row r="693" spans="2:7">
      <c r="B693" s="2">
        <v>45618</v>
      </c>
      <c r="C693" s="33">
        <v>1</v>
      </c>
      <c r="D693" s="33">
        <v>0</v>
      </c>
      <c r="E693" s="33">
        <v>0</v>
      </c>
      <c r="F693" s="31">
        <v>0.41666666666666669</v>
      </c>
      <c r="G693" s="31">
        <v>0.91666666666666663</v>
      </c>
    </row>
    <row r="694" spans="2:7">
      <c r="B694" s="2">
        <v>45619</v>
      </c>
      <c r="C694" s="33">
        <v>1</v>
      </c>
      <c r="D694" s="33">
        <v>0</v>
      </c>
      <c r="E694" s="33">
        <v>0</v>
      </c>
      <c r="F694" s="31">
        <v>0.41666666666666669</v>
      </c>
      <c r="G694" s="31">
        <v>0.91666666666666663</v>
      </c>
    </row>
    <row r="695" spans="2:7">
      <c r="B695" s="2">
        <v>45620</v>
      </c>
      <c r="C695" s="33">
        <v>1</v>
      </c>
      <c r="D695" s="33">
        <v>0</v>
      </c>
      <c r="E695" s="33">
        <v>0</v>
      </c>
      <c r="F695" s="31">
        <v>0.41666666666666669</v>
      </c>
      <c r="G695" s="31">
        <v>0.91666666666666663</v>
      </c>
    </row>
    <row r="696" spans="2:7">
      <c r="B696" s="2">
        <v>45621</v>
      </c>
      <c r="C696" s="33">
        <v>1</v>
      </c>
      <c r="D696" s="33">
        <v>0</v>
      </c>
      <c r="E696" s="33">
        <v>0</v>
      </c>
      <c r="F696" s="31">
        <v>0.41666666666666669</v>
      </c>
      <c r="G696" s="31">
        <v>0.91666666666666663</v>
      </c>
    </row>
    <row r="697" spans="2:7">
      <c r="B697" s="2">
        <v>45622</v>
      </c>
      <c r="C697" s="33">
        <v>1</v>
      </c>
      <c r="D697" s="33">
        <v>0</v>
      </c>
      <c r="E697" s="33">
        <v>0</v>
      </c>
      <c r="F697" s="31">
        <v>0.41666666666666669</v>
      </c>
      <c r="G697" s="31">
        <v>0.91666666666666663</v>
      </c>
    </row>
    <row r="698" spans="2:7">
      <c r="B698" s="2">
        <v>45623</v>
      </c>
      <c r="C698" s="33">
        <v>1</v>
      </c>
      <c r="D698" s="33">
        <v>0</v>
      </c>
      <c r="E698" s="33">
        <v>0</v>
      </c>
      <c r="F698" s="31">
        <v>0.41666666666666669</v>
      </c>
      <c r="G698" s="31">
        <v>0.91666666666666663</v>
      </c>
    </row>
    <row r="699" spans="2:7">
      <c r="B699" s="2">
        <v>45624</v>
      </c>
      <c r="C699" s="33">
        <v>1</v>
      </c>
      <c r="D699" s="33">
        <v>0</v>
      </c>
      <c r="E699" s="33">
        <v>0</v>
      </c>
      <c r="F699" s="31">
        <v>0.41666666666666669</v>
      </c>
      <c r="G699" s="31">
        <v>0.91666666666666663</v>
      </c>
    </row>
    <row r="700" spans="2:7">
      <c r="B700" s="2">
        <v>45625</v>
      </c>
      <c r="C700" s="33">
        <v>1</v>
      </c>
      <c r="D700" s="33">
        <v>0</v>
      </c>
      <c r="E700" s="33">
        <v>0</v>
      </c>
      <c r="F700" s="31">
        <v>0.41666666666666669</v>
      </c>
      <c r="G700" s="31">
        <v>0.91666666666666663</v>
      </c>
    </row>
    <row r="701" spans="2:7">
      <c r="B701" s="2">
        <v>45626</v>
      </c>
      <c r="C701" s="33">
        <v>1</v>
      </c>
      <c r="D701" s="33">
        <v>0</v>
      </c>
      <c r="E701" s="33">
        <v>0</v>
      </c>
      <c r="F701" s="31">
        <v>0.41666666666666669</v>
      </c>
      <c r="G701" s="31">
        <v>0.91666666666666663</v>
      </c>
    </row>
    <row r="702" spans="2:7">
      <c r="B702" s="2">
        <v>45627</v>
      </c>
      <c r="C702" s="33">
        <v>1</v>
      </c>
      <c r="D702" s="33">
        <v>0</v>
      </c>
      <c r="E702" s="33">
        <v>0</v>
      </c>
      <c r="F702" s="31">
        <v>0.41666666666666669</v>
      </c>
      <c r="G702" s="31">
        <v>0.91666666666666663</v>
      </c>
    </row>
    <row r="703" spans="2:7">
      <c r="B703" s="2">
        <v>45628</v>
      </c>
      <c r="C703" s="33">
        <v>1</v>
      </c>
      <c r="D703" s="33">
        <v>0</v>
      </c>
      <c r="E703" s="33">
        <v>0</v>
      </c>
      <c r="F703" s="31">
        <v>0.41666666666666669</v>
      </c>
      <c r="G703" s="31">
        <v>0.91666666666666663</v>
      </c>
    </row>
    <row r="704" spans="2:7">
      <c r="B704" s="2">
        <v>45629</v>
      </c>
      <c r="C704" s="33">
        <v>1</v>
      </c>
      <c r="D704" s="33">
        <v>0</v>
      </c>
      <c r="E704" s="33">
        <v>0</v>
      </c>
      <c r="F704" s="31">
        <v>0.41666666666666669</v>
      </c>
      <c r="G704" s="31">
        <v>0.91666666666666663</v>
      </c>
    </row>
    <row r="705" spans="2:7">
      <c r="B705" s="2">
        <v>45630</v>
      </c>
      <c r="C705" s="33">
        <v>1</v>
      </c>
      <c r="D705" s="33">
        <v>0</v>
      </c>
      <c r="E705" s="33">
        <v>0</v>
      </c>
      <c r="F705" s="31">
        <v>0.41666666666666669</v>
      </c>
      <c r="G705" s="31">
        <v>0.91666666666666663</v>
      </c>
    </row>
    <row r="706" spans="2:7">
      <c r="B706" s="2">
        <v>45631</v>
      </c>
      <c r="C706" s="33">
        <v>1</v>
      </c>
      <c r="D706" s="33">
        <v>0</v>
      </c>
      <c r="E706" s="33">
        <v>0</v>
      </c>
      <c r="F706" s="31">
        <v>0.41666666666666669</v>
      </c>
      <c r="G706" s="31">
        <v>0.91666666666666663</v>
      </c>
    </row>
    <row r="707" spans="2:7">
      <c r="B707" s="2">
        <v>45632</v>
      </c>
      <c r="C707" s="33">
        <v>1</v>
      </c>
      <c r="D707" s="33">
        <v>0</v>
      </c>
      <c r="E707" s="33">
        <v>0</v>
      </c>
      <c r="F707" s="31">
        <v>0.41666666666666669</v>
      </c>
      <c r="G707" s="31">
        <v>0.91666666666666663</v>
      </c>
    </row>
    <row r="708" spans="2:7">
      <c r="B708" s="2">
        <v>45633</v>
      </c>
      <c r="C708" s="33">
        <v>1</v>
      </c>
      <c r="D708" s="33">
        <v>0</v>
      </c>
      <c r="E708" s="33">
        <v>0</v>
      </c>
      <c r="F708" s="31">
        <v>0.41666666666666669</v>
      </c>
      <c r="G708" s="31">
        <v>0.91666666666666663</v>
      </c>
    </row>
    <row r="709" spans="2:7">
      <c r="B709" s="2">
        <v>45634</v>
      </c>
      <c r="C709" s="33">
        <v>1</v>
      </c>
      <c r="D709" s="33">
        <v>0</v>
      </c>
      <c r="E709" s="33">
        <v>0</v>
      </c>
      <c r="F709" s="31">
        <v>0.41666666666666669</v>
      </c>
      <c r="G709" s="31">
        <v>0.91666666666666663</v>
      </c>
    </row>
    <row r="710" spans="2:7">
      <c r="B710" s="2">
        <v>45635</v>
      </c>
      <c r="C710" s="33">
        <v>1</v>
      </c>
      <c r="D710" s="33">
        <v>0</v>
      </c>
      <c r="E710" s="33">
        <v>0</v>
      </c>
      <c r="F710" s="31">
        <v>0.41666666666666669</v>
      </c>
      <c r="G710" s="31">
        <v>0.91666666666666663</v>
      </c>
    </row>
    <row r="711" spans="2:7">
      <c r="B711" s="2">
        <v>45636</v>
      </c>
      <c r="C711" s="33">
        <v>1</v>
      </c>
      <c r="D711" s="33">
        <v>0</v>
      </c>
      <c r="E711" s="33">
        <v>0</v>
      </c>
      <c r="F711" s="31">
        <v>0.41666666666666669</v>
      </c>
      <c r="G711" s="31">
        <v>0.91666666666666663</v>
      </c>
    </row>
    <row r="712" spans="2:7">
      <c r="B712" s="2">
        <v>45637</v>
      </c>
      <c r="C712" s="33">
        <v>1</v>
      </c>
      <c r="D712" s="33">
        <v>0</v>
      </c>
      <c r="E712" s="33">
        <v>0</v>
      </c>
      <c r="F712" s="31">
        <v>0.41666666666666669</v>
      </c>
      <c r="G712" s="31">
        <v>0.91666666666666663</v>
      </c>
    </row>
    <row r="713" spans="2:7">
      <c r="B713" s="2">
        <v>45638</v>
      </c>
      <c r="C713" s="33">
        <v>1</v>
      </c>
      <c r="D713" s="33">
        <v>0</v>
      </c>
      <c r="E713" s="33">
        <v>0</v>
      </c>
      <c r="F713" s="31">
        <v>0.41666666666666669</v>
      </c>
      <c r="G713" s="31">
        <v>0.91666666666666663</v>
      </c>
    </row>
    <row r="714" spans="2:7">
      <c r="B714" s="2">
        <v>45639</v>
      </c>
      <c r="C714" s="33">
        <v>1</v>
      </c>
      <c r="D714" s="33">
        <v>0</v>
      </c>
      <c r="E714" s="33">
        <v>0</v>
      </c>
      <c r="F714" s="31">
        <v>0.41666666666666669</v>
      </c>
      <c r="G714" s="31">
        <v>0.91666666666666663</v>
      </c>
    </row>
    <row r="715" spans="2:7">
      <c r="B715" s="2">
        <v>45640</v>
      </c>
      <c r="C715" s="33">
        <v>1</v>
      </c>
      <c r="D715" s="33">
        <v>0</v>
      </c>
      <c r="E715" s="33">
        <v>0</v>
      </c>
      <c r="F715" s="31">
        <v>0.41666666666666669</v>
      </c>
      <c r="G715" s="31">
        <v>0.91666666666666663</v>
      </c>
    </row>
    <row r="716" spans="2:7">
      <c r="B716" s="2">
        <v>45641</v>
      </c>
      <c r="C716" s="33">
        <v>1</v>
      </c>
      <c r="D716" s="33">
        <v>0</v>
      </c>
      <c r="E716" s="33">
        <v>0</v>
      </c>
      <c r="F716" s="31">
        <v>0.41666666666666669</v>
      </c>
      <c r="G716" s="31">
        <v>0.91666666666666663</v>
      </c>
    </row>
    <row r="717" spans="2:7">
      <c r="B717" s="2">
        <v>45642</v>
      </c>
      <c r="C717" s="33">
        <v>1</v>
      </c>
      <c r="D717" s="33">
        <v>0</v>
      </c>
      <c r="E717" s="33">
        <v>0</v>
      </c>
      <c r="F717" s="31">
        <v>0.41666666666666669</v>
      </c>
      <c r="G717" s="31">
        <v>0.91666666666666663</v>
      </c>
    </row>
    <row r="718" spans="2:7">
      <c r="B718" s="2">
        <v>45643</v>
      </c>
      <c r="C718" s="33">
        <v>1</v>
      </c>
      <c r="D718" s="33">
        <v>0</v>
      </c>
      <c r="E718" s="33">
        <v>0</v>
      </c>
      <c r="F718" s="31">
        <v>0.41666666666666669</v>
      </c>
      <c r="G718" s="31">
        <v>0.91666666666666663</v>
      </c>
    </row>
    <row r="719" spans="2:7">
      <c r="B719" s="2">
        <v>45644</v>
      </c>
      <c r="C719" s="33">
        <v>1</v>
      </c>
      <c r="D719" s="33">
        <v>0</v>
      </c>
      <c r="E719" s="33">
        <v>0</v>
      </c>
      <c r="F719" s="31">
        <v>0.41666666666666669</v>
      </c>
      <c r="G719" s="31">
        <v>0.91666666666666663</v>
      </c>
    </row>
    <row r="720" spans="2:7">
      <c r="B720" s="2">
        <v>45645</v>
      </c>
      <c r="C720" s="33">
        <v>1</v>
      </c>
      <c r="D720" s="33">
        <v>0</v>
      </c>
      <c r="E720" s="33">
        <v>0</v>
      </c>
      <c r="F720" s="31">
        <v>0.41666666666666669</v>
      </c>
      <c r="G720" s="31">
        <v>0.91666666666666663</v>
      </c>
    </row>
    <row r="721" spans="2:7">
      <c r="B721" s="2">
        <v>45646</v>
      </c>
      <c r="C721" s="33">
        <v>1</v>
      </c>
      <c r="D721" s="33">
        <v>0</v>
      </c>
      <c r="E721" s="33">
        <v>0</v>
      </c>
      <c r="F721" s="31">
        <v>0.41666666666666669</v>
      </c>
      <c r="G721" s="31">
        <v>0.91666666666666663</v>
      </c>
    </row>
    <row r="722" spans="2:7">
      <c r="B722" s="2">
        <v>45647</v>
      </c>
      <c r="C722" s="33">
        <v>1</v>
      </c>
      <c r="D722" s="33">
        <v>0</v>
      </c>
      <c r="E722" s="33">
        <v>0</v>
      </c>
      <c r="F722" s="31">
        <v>0.41666666666666669</v>
      </c>
      <c r="G722" s="31">
        <v>0.91666666666666663</v>
      </c>
    </row>
    <row r="723" spans="2:7">
      <c r="B723" s="2">
        <v>45648</v>
      </c>
      <c r="C723" s="33">
        <v>1</v>
      </c>
      <c r="D723" s="33">
        <v>0</v>
      </c>
      <c r="E723" s="33">
        <v>0</v>
      </c>
      <c r="F723" s="31">
        <v>0.41666666666666669</v>
      </c>
      <c r="G723" s="31">
        <v>0.91666666666666663</v>
      </c>
    </row>
    <row r="724" spans="2:7">
      <c r="B724" s="2">
        <v>45649</v>
      </c>
      <c r="C724" s="33">
        <v>1</v>
      </c>
      <c r="D724" s="33">
        <v>0</v>
      </c>
      <c r="E724" s="33">
        <v>0</v>
      </c>
      <c r="F724" s="31">
        <v>0.41666666666666669</v>
      </c>
      <c r="G724" s="31">
        <v>0.91666666666666663</v>
      </c>
    </row>
    <row r="725" spans="2:7">
      <c r="B725" s="2">
        <v>45650</v>
      </c>
      <c r="C725" s="33">
        <v>1</v>
      </c>
      <c r="D725" s="33">
        <v>0</v>
      </c>
      <c r="E725" s="33">
        <v>0</v>
      </c>
      <c r="F725" s="31">
        <v>0.41666666666666669</v>
      </c>
      <c r="G725" s="31">
        <v>0.91666666666666663</v>
      </c>
    </row>
    <row r="726" spans="2:7">
      <c r="B726" s="2">
        <v>45651</v>
      </c>
      <c r="C726" s="33">
        <v>0</v>
      </c>
      <c r="D726" s="33">
        <v>1</v>
      </c>
      <c r="E726" s="33">
        <v>0</v>
      </c>
    </row>
    <row r="727" spans="2:7">
      <c r="B727" s="2">
        <v>45652</v>
      </c>
      <c r="C727" s="33">
        <v>1</v>
      </c>
      <c r="D727" s="33">
        <v>0</v>
      </c>
      <c r="E727" s="33">
        <v>1</v>
      </c>
      <c r="F727" s="31">
        <v>0.41666666666666669</v>
      </c>
      <c r="G727" s="31">
        <v>0.91666666666666663</v>
      </c>
    </row>
    <row r="728" spans="2:7">
      <c r="B728" s="2">
        <v>45653</v>
      </c>
      <c r="C728" s="33">
        <v>1</v>
      </c>
      <c r="D728" s="33">
        <v>0</v>
      </c>
      <c r="E728" s="33">
        <v>0</v>
      </c>
      <c r="F728" s="31">
        <v>0.41666666666666669</v>
      </c>
      <c r="G728" s="31">
        <v>0.91666666666666663</v>
      </c>
    </row>
    <row r="729" spans="2:7">
      <c r="B729" s="2">
        <v>45654</v>
      </c>
      <c r="C729" s="33">
        <v>1</v>
      </c>
      <c r="D729" s="33">
        <v>0</v>
      </c>
      <c r="E729" s="33">
        <v>0</v>
      </c>
      <c r="F729" s="31">
        <v>0.41666666666666669</v>
      </c>
      <c r="G729" s="31">
        <v>0.91666666666666663</v>
      </c>
    </row>
    <row r="730" spans="2:7">
      <c r="B730" s="2">
        <v>45655</v>
      </c>
      <c r="C730" s="33">
        <v>1</v>
      </c>
      <c r="D730" s="33">
        <v>0</v>
      </c>
      <c r="E730" s="33">
        <v>0</v>
      </c>
      <c r="F730" s="31">
        <v>0.41666666666666669</v>
      </c>
      <c r="G730" s="31">
        <v>0.91666666666666663</v>
      </c>
    </row>
    <row r="731" spans="2:7">
      <c r="B731" s="2">
        <v>45656</v>
      </c>
      <c r="C731" s="33">
        <v>1</v>
      </c>
      <c r="D731" s="33">
        <v>0</v>
      </c>
      <c r="E731" s="33">
        <v>0</v>
      </c>
      <c r="F731" s="31">
        <v>0.41666666666666669</v>
      </c>
      <c r="G731" s="31">
        <v>0.91666666666666663</v>
      </c>
    </row>
    <row r="732" spans="2:7">
      <c r="B732" s="2">
        <v>45657</v>
      </c>
      <c r="C732" s="33">
        <v>1</v>
      </c>
      <c r="D732" s="33">
        <v>0</v>
      </c>
      <c r="E732" s="33">
        <v>0</v>
      </c>
      <c r="F732" s="31">
        <v>0.41666666666666669</v>
      </c>
      <c r="G732" s="31">
        <v>0.91666666666666663</v>
      </c>
    </row>
    <row r="733" spans="2:7">
      <c r="B733" s="2">
        <v>45658</v>
      </c>
      <c r="C733" s="33">
        <v>0</v>
      </c>
      <c r="D733" s="33">
        <v>1</v>
      </c>
      <c r="E733" s="33">
        <v>0</v>
      </c>
    </row>
    <row r="734" spans="2:7">
      <c r="B734" s="2">
        <v>45659</v>
      </c>
      <c r="C734" s="33">
        <v>1</v>
      </c>
      <c r="D734" s="33">
        <v>0</v>
      </c>
      <c r="E734" s="33">
        <v>1</v>
      </c>
      <c r="F734" s="31">
        <v>0.41666666666666669</v>
      </c>
      <c r="G734" s="31">
        <v>0.91666666666666663</v>
      </c>
    </row>
    <row r="735" spans="2:7">
      <c r="B735" s="2">
        <v>45660</v>
      </c>
      <c r="C735" s="33">
        <v>1</v>
      </c>
      <c r="D735" s="33">
        <v>0</v>
      </c>
      <c r="E735" s="33">
        <v>0</v>
      </c>
      <c r="F735" s="31">
        <v>0.41666666666666669</v>
      </c>
      <c r="G735" s="31">
        <v>0.91666666666666663</v>
      </c>
    </row>
    <row r="736" spans="2:7">
      <c r="B736" s="2">
        <v>45661</v>
      </c>
      <c r="C736" s="33">
        <v>1</v>
      </c>
      <c r="D736" s="33">
        <v>0</v>
      </c>
      <c r="E736" s="33">
        <v>0</v>
      </c>
      <c r="F736" s="31">
        <v>0.41666666666666669</v>
      </c>
      <c r="G736" s="31">
        <v>0.91666666666666663</v>
      </c>
    </row>
    <row r="737" spans="2:7">
      <c r="B737" s="2">
        <v>45662</v>
      </c>
      <c r="C737" s="33">
        <v>1</v>
      </c>
      <c r="D737" s="33">
        <v>0</v>
      </c>
      <c r="E737" s="33">
        <v>0</v>
      </c>
      <c r="F737" s="31">
        <v>0.41666666666666669</v>
      </c>
      <c r="G737" s="31">
        <v>0.91666666666666663</v>
      </c>
    </row>
    <row r="738" spans="2:7">
      <c r="B738" s="2">
        <v>45663</v>
      </c>
      <c r="C738" s="33">
        <v>0</v>
      </c>
      <c r="D738" s="33">
        <v>1</v>
      </c>
      <c r="E738" s="33">
        <v>0</v>
      </c>
    </row>
    <row r="739" spans="2:7">
      <c r="B739" s="2">
        <v>45664</v>
      </c>
      <c r="C739" s="33">
        <v>1</v>
      </c>
      <c r="D739" s="33">
        <v>0</v>
      </c>
      <c r="E739" s="33">
        <v>1</v>
      </c>
      <c r="F739" s="31">
        <v>0.41666666666666669</v>
      </c>
      <c r="G739" s="31">
        <v>0.91666666666666663</v>
      </c>
    </row>
    <row r="740" spans="2:7">
      <c r="B740" s="2">
        <v>45665</v>
      </c>
      <c r="C740" s="33">
        <v>1</v>
      </c>
      <c r="D740" s="33">
        <v>0</v>
      </c>
      <c r="E740" s="33">
        <v>0</v>
      </c>
      <c r="F740" s="31">
        <v>0.41666666666666669</v>
      </c>
      <c r="G740" s="31">
        <v>0.91666666666666663</v>
      </c>
    </row>
    <row r="741" spans="2:7">
      <c r="B741" s="2">
        <v>45666</v>
      </c>
      <c r="C741" s="33">
        <v>1</v>
      </c>
      <c r="D741" s="33">
        <v>0</v>
      </c>
      <c r="E741" s="33">
        <v>0</v>
      </c>
      <c r="F741" s="31">
        <v>0.41666666666666669</v>
      </c>
      <c r="G741" s="31">
        <v>0.91666666666666663</v>
      </c>
    </row>
    <row r="742" spans="2:7">
      <c r="B742" s="2">
        <v>45667</v>
      </c>
      <c r="C742" s="33">
        <v>1</v>
      </c>
      <c r="D742" s="33">
        <v>0</v>
      </c>
      <c r="E742" s="33">
        <v>0</v>
      </c>
      <c r="F742" s="31">
        <v>0.41666666666666669</v>
      </c>
      <c r="G742" s="31">
        <v>0.91666666666666663</v>
      </c>
    </row>
    <row r="743" spans="2:7">
      <c r="B743" s="2">
        <v>45668</v>
      </c>
      <c r="C743" s="33">
        <v>1</v>
      </c>
      <c r="D743" s="33">
        <v>0</v>
      </c>
      <c r="E743" s="33">
        <v>0</v>
      </c>
      <c r="F743" s="31">
        <v>0.41666666666666669</v>
      </c>
      <c r="G743" s="31">
        <v>0.91666666666666663</v>
      </c>
    </row>
    <row r="744" spans="2:7">
      <c r="B744" s="2">
        <v>45669</v>
      </c>
      <c r="C744" s="33">
        <v>1</v>
      </c>
      <c r="D744" s="33">
        <v>0</v>
      </c>
      <c r="E744" s="33">
        <v>0</v>
      </c>
      <c r="F744" s="31">
        <v>0.41666666666666669</v>
      </c>
      <c r="G744" s="31">
        <v>0.91666666666666663</v>
      </c>
    </row>
    <row r="745" spans="2:7">
      <c r="B745" s="2">
        <v>45670</v>
      </c>
      <c r="C745" s="33">
        <v>1</v>
      </c>
      <c r="D745" s="33">
        <v>0</v>
      </c>
      <c r="E745" s="33">
        <v>0</v>
      </c>
      <c r="F745" s="31">
        <v>0.41666666666666669</v>
      </c>
      <c r="G745" s="31">
        <v>0.91666666666666663</v>
      </c>
    </row>
    <row r="746" spans="2:7">
      <c r="B746" s="2">
        <v>45671</v>
      </c>
      <c r="C746" s="33">
        <v>1</v>
      </c>
      <c r="D746" s="33">
        <v>0</v>
      </c>
      <c r="E746" s="33">
        <v>0</v>
      </c>
      <c r="F746" s="31">
        <v>0.41666666666666669</v>
      </c>
      <c r="G746" s="31">
        <v>0.91666666666666663</v>
      </c>
    </row>
    <row r="747" spans="2:7">
      <c r="B747" s="2">
        <v>45672</v>
      </c>
      <c r="C747" s="33">
        <v>1</v>
      </c>
      <c r="D747" s="33">
        <v>0</v>
      </c>
      <c r="E747" s="33">
        <v>0</v>
      </c>
      <c r="F747" s="31">
        <v>0.41666666666666669</v>
      </c>
      <c r="G747" s="31">
        <v>0.91666666666666663</v>
      </c>
    </row>
    <row r="748" spans="2:7">
      <c r="B748" s="2">
        <v>45673</v>
      </c>
      <c r="C748" s="33">
        <v>1</v>
      </c>
      <c r="D748" s="33">
        <v>0</v>
      </c>
      <c r="E748" s="33">
        <v>0</v>
      </c>
      <c r="F748" s="31">
        <v>0.41666666666666669</v>
      </c>
      <c r="G748" s="31">
        <v>0.91666666666666663</v>
      </c>
    </row>
    <row r="749" spans="2:7">
      <c r="B749" s="2">
        <v>45674</v>
      </c>
      <c r="C749" s="33">
        <v>1</v>
      </c>
      <c r="D749" s="33">
        <v>0</v>
      </c>
      <c r="E749" s="33">
        <v>0</v>
      </c>
      <c r="F749" s="31">
        <v>0.41666666666666669</v>
      </c>
      <c r="G749" s="31">
        <v>0.91666666666666663</v>
      </c>
    </row>
    <row r="750" spans="2:7">
      <c r="B750" s="2">
        <v>45675</v>
      </c>
      <c r="C750" s="33">
        <v>1</v>
      </c>
      <c r="D750" s="33">
        <v>0</v>
      </c>
      <c r="E750" s="33">
        <v>0</v>
      </c>
      <c r="F750" s="31">
        <v>0.41666666666666669</v>
      </c>
      <c r="G750" s="31">
        <v>0.91666666666666663</v>
      </c>
    </row>
    <row r="751" spans="2:7">
      <c r="B751" s="2">
        <v>45676</v>
      </c>
      <c r="C751" s="33">
        <v>0</v>
      </c>
      <c r="D751" s="33">
        <v>1</v>
      </c>
      <c r="E751" s="33">
        <v>0</v>
      </c>
    </row>
    <row r="752" spans="2:7">
      <c r="B752" s="2">
        <v>45677</v>
      </c>
      <c r="C752" s="33">
        <v>1</v>
      </c>
      <c r="D752" s="33">
        <v>0</v>
      </c>
      <c r="E752" s="33">
        <v>1</v>
      </c>
      <c r="F752" s="31">
        <v>0.41666666666666669</v>
      </c>
      <c r="G752" s="31">
        <v>0.91666666666666663</v>
      </c>
    </row>
    <row r="753" spans="2:7">
      <c r="B753" s="2">
        <v>45678</v>
      </c>
      <c r="C753" s="33">
        <v>1</v>
      </c>
      <c r="D753" s="33">
        <v>0</v>
      </c>
      <c r="E753" s="33">
        <v>0</v>
      </c>
      <c r="F753" s="31">
        <v>0.41666666666666669</v>
      </c>
      <c r="G753" s="31">
        <v>0.91666666666666663</v>
      </c>
    </row>
    <row r="754" spans="2:7">
      <c r="B754" s="2">
        <v>45679</v>
      </c>
      <c r="C754" s="33">
        <v>0</v>
      </c>
      <c r="D754" s="33">
        <v>1</v>
      </c>
      <c r="E754" s="33">
        <v>0</v>
      </c>
    </row>
    <row r="755" spans="2:7">
      <c r="B755" s="2">
        <v>45680</v>
      </c>
      <c r="C755" s="33">
        <v>1</v>
      </c>
      <c r="D755" s="33">
        <v>0</v>
      </c>
      <c r="E755" s="33">
        <v>1</v>
      </c>
      <c r="F755" s="31">
        <v>0.41666666666666669</v>
      </c>
      <c r="G755" s="31">
        <v>0.91666666666666663</v>
      </c>
    </row>
    <row r="756" spans="2:7">
      <c r="B756" s="2">
        <v>45681</v>
      </c>
      <c r="C756" s="33">
        <v>1</v>
      </c>
      <c r="D756" s="33">
        <v>0</v>
      </c>
      <c r="E756" s="33">
        <v>0</v>
      </c>
      <c r="F756" s="31">
        <v>0.41666666666666669</v>
      </c>
      <c r="G756" s="31">
        <v>0.91666666666666663</v>
      </c>
    </row>
    <row r="757" spans="2:7">
      <c r="B757" s="2">
        <v>45682</v>
      </c>
      <c r="C757" s="33">
        <v>1</v>
      </c>
      <c r="D757" s="33">
        <v>0</v>
      </c>
      <c r="E757" s="33">
        <v>0</v>
      </c>
      <c r="F757" s="31">
        <v>0.41666666666666669</v>
      </c>
      <c r="G757" s="31">
        <v>0.91666666666666663</v>
      </c>
    </row>
    <row r="758" spans="2:7">
      <c r="B758" s="2">
        <v>45683</v>
      </c>
      <c r="C758" s="33">
        <v>0</v>
      </c>
      <c r="D758" s="33">
        <v>1</v>
      </c>
      <c r="E758" s="33">
        <v>0</v>
      </c>
    </row>
    <row r="759" spans="2:7">
      <c r="B759" s="2">
        <v>45684</v>
      </c>
      <c r="C759" s="33">
        <v>1</v>
      </c>
      <c r="D759" s="33">
        <v>0</v>
      </c>
      <c r="E759" s="33">
        <v>1</v>
      </c>
      <c r="F759" s="31">
        <v>0.41666666666666669</v>
      </c>
      <c r="G759" s="31">
        <v>0.91666666666666663</v>
      </c>
    </row>
    <row r="760" spans="2:7">
      <c r="B760" s="2">
        <v>45685</v>
      </c>
      <c r="C760" s="33">
        <v>1</v>
      </c>
      <c r="D760" s="33">
        <v>0</v>
      </c>
      <c r="E760" s="33">
        <v>0</v>
      </c>
      <c r="F760" s="31">
        <v>0.41666666666666669</v>
      </c>
      <c r="G760" s="31">
        <v>0.91666666666666663</v>
      </c>
    </row>
    <row r="761" spans="2:7">
      <c r="B761" s="2">
        <v>45686</v>
      </c>
      <c r="C761" s="33">
        <v>1</v>
      </c>
      <c r="D761" s="33">
        <v>0</v>
      </c>
      <c r="E761" s="33">
        <v>0</v>
      </c>
      <c r="F761" s="31">
        <v>0.41666666666666669</v>
      </c>
      <c r="G761" s="31">
        <v>0.91666666666666663</v>
      </c>
    </row>
    <row r="762" spans="2:7">
      <c r="B762" s="2">
        <v>45687</v>
      </c>
      <c r="C762" s="33">
        <v>1</v>
      </c>
      <c r="D762" s="33">
        <v>0</v>
      </c>
      <c r="E762" s="33">
        <v>0</v>
      </c>
      <c r="F762" s="31">
        <v>0.41666666666666669</v>
      </c>
      <c r="G762" s="31">
        <v>0.91666666666666663</v>
      </c>
    </row>
    <row r="763" spans="2:7">
      <c r="B763" s="2">
        <v>45688</v>
      </c>
      <c r="C763" s="33">
        <v>1</v>
      </c>
      <c r="D763" s="33">
        <v>0</v>
      </c>
      <c r="E763" s="33">
        <v>0</v>
      </c>
      <c r="F763" s="31">
        <v>0.41666666666666669</v>
      </c>
      <c r="G763" s="31">
        <v>0.91666666666666663</v>
      </c>
    </row>
    <row r="764" spans="2:7">
      <c r="B764" s="2">
        <v>45689</v>
      </c>
      <c r="C764" s="33">
        <v>1</v>
      </c>
      <c r="D764" s="33">
        <v>0</v>
      </c>
      <c r="E764" s="33">
        <v>0</v>
      </c>
      <c r="F764" s="31">
        <v>0.41666666666666669</v>
      </c>
      <c r="G764" s="31">
        <v>0.91666666666666663</v>
      </c>
    </row>
    <row r="765" spans="2:7">
      <c r="B765" s="2">
        <v>45690</v>
      </c>
      <c r="C765" s="33">
        <v>0</v>
      </c>
      <c r="D765" s="33">
        <v>1</v>
      </c>
      <c r="E765" s="33">
        <v>0</v>
      </c>
    </row>
    <row r="766" spans="2:7">
      <c r="B766" s="2">
        <v>45691</v>
      </c>
      <c r="C766" s="33">
        <v>1</v>
      </c>
      <c r="D766" s="33">
        <v>0</v>
      </c>
      <c r="E766" s="33">
        <v>1</v>
      </c>
      <c r="F766" s="31">
        <v>0.41666666666666669</v>
      </c>
      <c r="G766" s="31">
        <v>0.91666666666666663</v>
      </c>
    </row>
    <row r="767" spans="2:7">
      <c r="B767" s="2">
        <v>45692</v>
      </c>
      <c r="C767" s="33">
        <v>1</v>
      </c>
      <c r="D767" s="33">
        <v>0</v>
      </c>
      <c r="E767" s="33">
        <v>0</v>
      </c>
      <c r="F767" s="31">
        <v>0.41666666666666669</v>
      </c>
      <c r="G767" s="31">
        <v>0.91666666666666663</v>
      </c>
    </row>
    <row r="768" spans="2:7">
      <c r="B768" s="2">
        <v>45693</v>
      </c>
      <c r="C768" s="33">
        <v>1</v>
      </c>
      <c r="D768" s="33">
        <v>0</v>
      </c>
      <c r="E768" s="33">
        <v>0</v>
      </c>
      <c r="F768" s="31">
        <v>0.41666666666666669</v>
      </c>
      <c r="G768" s="31">
        <v>0.91666666666666663</v>
      </c>
    </row>
    <row r="769" spans="2:7">
      <c r="B769" s="2">
        <v>45694</v>
      </c>
      <c r="C769" s="33">
        <v>1</v>
      </c>
      <c r="D769" s="33">
        <v>0</v>
      </c>
      <c r="E769" s="33">
        <v>0</v>
      </c>
      <c r="F769" s="31">
        <v>0.41666666666666669</v>
      </c>
      <c r="G769" s="31">
        <v>0.91666666666666663</v>
      </c>
    </row>
    <row r="770" spans="2:7">
      <c r="B770" s="2">
        <v>45695</v>
      </c>
      <c r="C770" s="33">
        <v>1</v>
      </c>
      <c r="D770" s="33">
        <v>0</v>
      </c>
      <c r="E770" s="33">
        <v>0</v>
      </c>
      <c r="F770" s="31">
        <v>0.41666666666666669</v>
      </c>
      <c r="G770" s="31">
        <v>0.91666666666666663</v>
      </c>
    </row>
    <row r="771" spans="2:7">
      <c r="B771" s="2">
        <v>45696</v>
      </c>
      <c r="C771" s="33">
        <v>1</v>
      </c>
      <c r="D771" s="33">
        <v>0</v>
      </c>
      <c r="E771" s="33">
        <v>0</v>
      </c>
      <c r="F771" s="31">
        <v>0.41666666666666669</v>
      </c>
      <c r="G771" s="31">
        <v>0.91666666666666663</v>
      </c>
    </row>
    <row r="772" spans="2:7">
      <c r="B772" s="2">
        <v>45697</v>
      </c>
      <c r="C772" s="33">
        <v>0</v>
      </c>
      <c r="D772" s="33">
        <v>1</v>
      </c>
      <c r="E772" s="33">
        <v>0</v>
      </c>
    </row>
    <row r="773" spans="2:7">
      <c r="B773" s="2">
        <v>45698</v>
      </c>
      <c r="C773" s="33">
        <v>1</v>
      </c>
      <c r="D773" s="33">
        <v>0</v>
      </c>
      <c r="E773" s="33">
        <v>1</v>
      </c>
      <c r="F773" s="31">
        <v>0.41666666666666669</v>
      </c>
      <c r="G773" s="31">
        <v>0.91666666666666663</v>
      </c>
    </row>
    <row r="774" spans="2:7">
      <c r="B774" s="2">
        <v>45699</v>
      </c>
      <c r="C774" s="33">
        <v>1</v>
      </c>
      <c r="D774" s="33">
        <v>0</v>
      </c>
      <c r="E774" s="33">
        <v>0</v>
      </c>
      <c r="F774" s="31">
        <v>0.41666666666666669</v>
      </c>
      <c r="G774" s="31">
        <v>0.91666666666666663</v>
      </c>
    </row>
    <row r="775" spans="2:7">
      <c r="B775" s="2">
        <v>45700</v>
      </c>
      <c r="C775" s="33">
        <v>1</v>
      </c>
      <c r="D775" s="33">
        <v>0</v>
      </c>
      <c r="E775" s="33">
        <v>0</v>
      </c>
      <c r="F775" s="31">
        <v>0.41666666666666669</v>
      </c>
      <c r="G775" s="31">
        <v>0.91666666666666663</v>
      </c>
    </row>
    <row r="776" spans="2:7">
      <c r="B776" s="2">
        <v>45701</v>
      </c>
      <c r="C776" s="33">
        <v>1</v>
      </c>
      <c r="D776" s="33">
        <v>0</v>
      </c>
      <c r="E776" s="33">
        <v>0</v>
      </c>
      <c r="F776" s="31">
        <v>0.41666666666666669</v>
      </c>
      <c r="G776" s="31">
        <v>0.91666666666666663</v>
      </c>
    </row>
    <row r="777" spans="2:7">
      <c r="B777" s="2">
        <v>45702</v>
      </c>
      <c r="C777" s="33">
        <v>1</v>
      </c>
      <c r="D777" s="33">
        <v>0</v>
      </c>
      <c r="E777" s="33">
        <v>0</v>
      </c>
      <c r="F777" s="31">
        <v>0.41666666666666669</v>
      </c>
      <c r="G777" s="31">
        <v>0.91666666666666663</v>
      </c>
    </row>
    <row r="778" spans="2:7">
      <c r="B778" s="2">
        <v>45703</v>
      </c>
      <c r="C778" s="33">
        <v>1</v>
      </c>
      <c r="D778" s="33">
        <v>0</v>
      </c>
      <c r="E778" s="33">
        <v>0</v>
      </c>
      <c r="F778" s="31">
        <v>0.41666666666666669</v>
      </c>
      <c r="G778" s="31">
        <v>0.91666666666666663</v>
      </c>
    </row>
    <row r="779" spans="2:7">
      <c r="B779" s="2">
        <v>45704</v>
      </c>
      <c r="C779" s="33">
        <v>0</v>
      </c>
      <c r="D779" s="33">
        <v>1</v>
      </c>
      <c r="E779" s="33">
        <v>0</v>
      </c>
    </row>
    <row r="780" spans="2:7">
      <c r="B780" s="2">
        <v>45705</v>
      </c>
      <c r="C780" s="33">
        <v>1</v>
      </c>
      <c r="D780" s="33">
        <v>0</v>
      </c>
      <c r="E780" s="33">
        <v>1</v>
      </c>
      <c r="F780" s="31">
        <v>0.41666666666666669</v>
      </c>
      <c r="G780" s="31">
        <v>0.91666666666666663</v>
      </c>
    </row>
    <row r="781" spans="2:7">
      <c r="B781" s="2">
        <v>45706</v>
      </c>
      <c r="C781" s="33">
        <v>1</v>
      </c>
      <c r="D781" s="33">
        <v>0</v>
      </c>
      <c r="E781" s="33">
        <v>0</v>
      </c>
      <c r="F781" s="31">
        <v>0.41666666666666669</v>
      </c>
      <c r="G781" s="31">
        <v>0.91666666666666663</v>
      </c>
    </row>
    <row r="782" spans="2:7">
      <c r="B782" s="2">
        <v>45707</v>
      </c>
      <c r="C782" s="33">
        <v>1</v>
      </c>
      <c r="D782" s="33">
        <v>0</v>
      </c>
      <c r="E782" s="33">
        <v>0</v>
      </c>
      <c r="F782" s="31">
        <v>0.41666666666666669</v>
      </c>
      <c r="G782" s="31">
        <v>0.91666666666666663</v>
      </c>
    </row>
    <row r="783" spans="2:7">
      <c r="B783" s="2">
        <v>45708</v>
      </c>
      <c r="C783" s="33">
        <v>1</v>
      </c>
      <c r="D783" s="33">
        <v>0</v>
      </c>
      <c r="E783" s="33">
        <v>0</v>
      </c>
      <c r="F783" s="31">
        <v>0.41666666666666669</v>
      </c>
      <c r="G783" s="31">
        <v>0.91666666666666663</v>
      </c>
    </row>
    <row r="784" spans="2:7">
      <c r="B784" s="2">
        <v>45709</v>
      </c>
      <c r="C784" s="33">
        <v>1</v>
      </c>
      <c r="D784" s="33">
        <v>0</v>
      </c>
      <c r="E784" s="33">
        <v>0</v>
      </c>
      <c r="F784" s="31">
        <v>0.41666666666666669</v>
      </c>
      <c r="G784" s="31">
        <v>0.91666666666666663</v>
      </c>
    </row>
    <row r="785" spans="2:7">
      <c r="B785" s="2">
        <v>45710</v>
      </c>
      <c r="C785" s="33">
        <v>1</v>
      </c>
      <c r="D785" s="33">
        <v>0</v>
      </c>
      <c r="E785" s="33">
        <v>0</v>
      </c>
      <c r="F785" s="31">
        <v>0.41666666666666669</v>
      </c>
      <c r="G785" s="31">
        <v>0.91666666666666663</v>
      </c>
    </row>
    <row r="786" spans="2:7">
      <c r="B786" s="2">
        <v>45711</v>
      </c>
      <c r="C786" s="33">
        <v>0</v>
      </c>
      <c r="D786" s="33">
        <v>1</v>
      </c>
      <c r="E786" s="33">
        <v>0</v>
      </c>
    </row>
    <row r="787" spans="2:7">
      <c r="B787" s="2">
        <v>45712</v>
      </c>
      <c r="C787" s="33">
        <v>1</v>
      </c>
      <c r="D787" s="33">
        <v>0</v>
      </c>
      <c r="E787" s="33">
        <v>1</v>
      </c>
      <c r="F787" s="31">
        <v>0.41666666666666669</v>
      </c>
      <c r="G787" s="31">
        <v>0.91666666666666663</v>
      </c>
    </row>
    <row r="788" spans="2:7">
      <c r="B788" s="2">
        <v>45713</v>
      </c>
      <c r="C788" s="33">
        <v>1</v>
      </c>
      <c r="D788" s="33">
        <v>0</v>
      </c>
      <c r="E788" s="33">
        <v>0</v>
      </c>
      <c r="F788" s="31">
        <v>0.41666666666666669</v>
      </c>
      <c r="G788" s="31">
        <v>0.91666666666666663</v>
      </c>
    </row>
    <row r="789" spans="2:7">
      <c r="B789" s="2">
        <v>45714</v>
      </c>
      <c r="C789" s="33">
        <v>1</v>
      </c>
      <c r="D789" s="33">
        <v>0</v>
      </c>
      <c r="E789" s="33">
        <v>0</v>
      </c>
      <c r="F789" s="31">
        <v>0.41666666666666669</v>
      </c>
      <c r="G789" s="31">
        <v>0.91666666666666663</v>
      </c>
    </row>
    <row r="790" spans="2:7">
      <c r="B790" s="2">
        <v>45715</v>
      </c>
      <c r="C790" s="33">
        <v>1</v>
      </c>
      <c r="D790" s="33">
        <v>0</v>
      </c>
      <c r="E790" s="33">
        <v>0</v>
      </c>
      <c r="F790" s="31">
        <v>0.41666666666666669</v>
      </c>
      <c r="G790" s="31">
        <v>0.91666666666666663</v>
      </c>
    </row>
    <row r="791" spans="2:7">
      <c r="B791" s="2">
        <v>45716</v>
      </c>
      <c r="C791" s="33">
        <v>1</v>
      </c>
      <c r="D791" s="33">
        <v>0</v>
      </c>
      <c r="E791" s="33">
        <v>0</v>
      </c>
      <c r="F791" s="31">
        <v>0.41666666666666669</v>
      </c>
      <c r="G791" s="31">
        <v>0.91666666666666663</v>
      </c>
    </row>
    <row r="792" spans="2:7">
      <c r="B792" s="2">
        <v>45717</v>
      </c>
      <c r="C792" s="33">
        <v>1</v>
      </c>
      <c r="D792" s="33">
        <v>0</v>
      </c>
      <c r="E792" s="33">
        <v>0</v>
      </c>
      <c r="F792" s="31">
        <v>0.41666666666666669</v>
      </c>
      <c r="G792" s="31">
        <v>0.91666666666666663</v>
      </c>
    </row>
    <row r="793" spans="2:7">
      <c r="B793" s="2">
        <v>45718</v>
      </c>
      <c r="C793" s="33">
        <v>0</v>
      </c>
      <c r="D793" s="33">
        <v>1</v>
      </c>
      <c r="E793" s="33">
        <v>0</v>
      </c>
    </row>
    <row r="794" spans="2:7">
      <c r="B794" s="2">
        <v>45719</v>
      </c>
      <c r="C794" s="33">
        <v>1</v>
      </c>
      <c r="D794" s="33">
        <v>0</v>
      </c>
      <c r="E794" s="33">
        <v>1</v>
      </c>
      <c r="F794" s="31">
        <v>0.41666666666666669</v>
      </c>
      <c r="G794" s="31">
        <v>0.91666666666666663</v>
      </c>
    </row>
    <row r="795" spans="2:7">
      <c r="B795" s="2">
        <v>45720</v>
      </c>
      <c r="C795" s="33">
        <v>1</v>
      </c>
      <c r="D795" s="33">
        <v>0</v>
      </c>
      <c r="E795" s="33">
        <v>0</v>
      </c>
      <c r="F795" s="31">
        <v>0.41666666666666669</v>
      </c>
      <c r="G795" s="31">
        <v>0.91666666666666663</v>
      </c>
    </row>
    <row r="796" spans="2:7">
      <c r="B796" s="2">
        <v>45721</v>
      </c>
      <c r="C796" s="33">
        <v>1</v>
      </c>
      <c r="D796" s="33">
        <v>0</v>
      </c>
      <c r="E796" s="33">
        <v>0</v>
      </c>
      <c r="F796" s="31">
        <v>0.41666666666666669</v>
      </c>
      <c r="G796" s="31">
        <v>0.91666666666666663</v>
      </c>
    </row>
    <row r="797" spans="2:7">
      <c r="B797" s="2">
        <v>45722</v>
      </c>
      <c r="C797" s="33">
        <v>1</v>
      </c>
      <c r="D797" s="33">
        <v>0</v>
      </c>
      <c r="E797" s="33">
        <v>0</v>
      </c>
      <c r="F797" s="31">
        <v>0.41666666666666669</v>
      </c>
      <c r="G797" s="31">
        <v>0.91666666666666663</v>
      </c>
    </row>
    <row r="798" spans="2:7">
      <c r="B798" s="2">
        <v>45723</v>
      </c>
      <c r="C798" s="33">
        <v>1</v>
      </c>
      <c r="D798" s="33">
        <v>0</v>
      </c>
      <c r="E798" s="33">
        <v>0</v>
      </c>
      <c r="F798" s="31">
        <v>0.41666666666666669</v>
      </c>
      <c r="G798" s="31">
        <v>0.91666666666666663</v>
      </c>
    </row>
    <row r="799" spans="2:7">
      <c r="B799" s="2">
        <v>45724</v>
      </c>
      <c r="C799" s="33">
        <v>1</v>
      </c>
      <c r="D799" s="33">
        <v>0</v>
      </c>
      <c r="E799" s="33">
        <v>0</v>
      </c>
      <c r="F799" s="31">
        <v>0.41666666666666669</v>
      </c>
      <c r="G799" s="31">
        <v>0.91666666666666663</v>
      </c>
    </row>
    <row r="800" spans="2:7">
      <c r="B800" s="2">
        <v>45725</v>
      </c>
      <c r="C800" s="33">
        <v>0</v>
      </c>
      <c r="D800" s="33">
        <v>1</v>
      </c>
      <c r="E800" s="33">
        <v>0</v>
      </c>
    </row>
    <row r="801" spans="2:7">
      <c r="B801" s="2">
        <v>45726</v>
      </c>
      <c r="C801" s="33">
        <v>1</v>
      </c>
      <c r="D801" s="33">
        <v>0</v>
      </c>
      <c r="E801" s="33">
        <v>1</v>
      </c>
      <c r="F801" s="31">
        <v>0.41666666666666669</v>
      </c>
      <c r="G801" s="31">
        <v>0.91666666666666663</v>
      </c>
    </row>
    <row r="802" spans="2:7">
      <c r="B802" s="2">
        <v>45727</v>
      </c>
      <c r="C802" s="33">
        <v>1</v>
      </c>
      <c r="D802" s="33">
        <v>0</v>
      </c>
      <c r="E802" s="33">
        <v>0</v>
      </c>
      <c r="F802" s="31">
        <v>0.41666666666666669</v>
      </c>
      <c r="G802" s="31">
        <v>0.91666666666666663</v>
      </c>
    </row>
    <row r="803" spans="2:7">
      <c r="B803" s="2">
        <v>45728</v>
      </c>
      <c r="C803" s="33">
        <v>1</v>
      </c>
      <c r="D803" s="33">
        <v>0</v>
      </c>
      <c r="E803" s="33">
        <v>0</v>
      </c>
      <c r="F803" s="31">
        <v>0.41666666666666669</v>
      </c>
      <c r="G803" s="31">
        <v>0.91666666666666663</v>
      </c>
    </row>
    <row r="804" spans="2:7">
      <c r="B804" s="2">
        <v>45729</v>
      </c>
      <c r="C804" s="33">
        <v>1</v>
      </c>
      <c r="D804" s="33">
        <v>0</v>
      </c>
      <c r="E804" s="33">
        <v>0</v>
      </c>
      <c r="F804" s="31">
        <v>0.41666666666666669</v>
      </c>
      <c r="G804" s="31">
        <v>0.91666666666666663</v>
      </c>
    </row>
    <row r="805" spans="2:7">
      <c r="B805" s="2">
        <v>45730</v>
      </c>
      <c r="C805" s="33">
        <v>1</v>
      </c>
      <c r="D805" s="33">
        <v>0</v>
      </c>
      <c r="E805" s="33">
        <v>0</v>
      </c>
      <c r="F805" s="31">
        <v>0.41666666666666669</v>
      </c>
      <c r="G805" s="31">
        <v>0.91666666666666663</v>
      </c>
    </row>
    <row r="806" spans="2:7">
      <c r="B806" s="2">
        <v>45731</v>
      </c>
      <c r="C806" s="33">
        <v>1</v>
      </c>
      <c r="D806" s="33">
        <v>0</v>
      </c>
      <c r="E806" s="33">
        <v>0</v>
      </c>
      <c r="F806" s="31">
        <v>0.41666666666666669</v>
      </c>
      <c r="G806" s="31">
        <v>0.91666666666666663</v>
      </c>
    </row>
    <row r="807" spans="2:7">
      <c r="B807" s="2">
        <v>45732</v>
      </c>
      <c r="C807" s="33">
        <v>0</v>
      </c>
      <c r="D807" s="33">
        <v>1</v>
      </c>
      <c r="E807" s="33">
        <v>0</v>
      </c>
    </row>
    <row r="808" spans="2:7">
      <c r="B808" s="2">
        <v>45733</v>
      </c>
      <c r="C808" s="33">
        <v>1</v>
      </c>
      <c r="D808" s="33">
        <v>0</v>
      </c>
      <c r="E808" s="33">
        <v>1</v>
      </c>
      <c r="F808" s="31">
        <v>0.41666666666666669</v>
      </c>
      <c r="G808" s="31">
        <v>0.91666666666666663</v>
      </c>
    </row>
    <row r="809" spans="2:7">
      <c r="B809" s="2">
        <v>45734</v>
      </c>
      <c r="C809" s="33">
        <v>1</v>
      </c>
      <c r="D809" s="33">
        <v>0</v>
      </c>
      <c r="E809" s="33">
        <v>0</v>
      </c>
      <c r="F809" s="31">
        <v>0.41666666666666669</v>
      </c>
      <c r="G809" s="31">
        <v>0.91666666666666663</v>
      </c>
    </row>
    <row r="810" spans="2:7">
      <c r="B810" s="2">
        <v>45735</v>
      </c>
      <c r="C810" s="33">
        <v>0</v>
      </c>
      <c r="D810" s="33">
        <v>1</v>
      </c>
      <c r="E810" s="33">
        <v>0</v>
      </c>
    </row>
    <row r="811" spans="2:7">
      <c r="B811" s="2">
        <v>45736</v>
      </c>
      <c r="C811" s="33">
        <v>1</v>
      </c>
      <c r="D811" s="33">
        <v>0</v>
      </c>
      <c r="E811" s="33">
        <v>1</v>
      </c>
      <c r="F811" s="31">
        <v>0.41666666666666669</v>
      </c>
      <c r="G811" s="31">
        <v>0.91666666666666663</v>
      </c>
    </row>
    <row r="812" spans="2:7">
      <c r="B812" s="2">
        <v>45737</v>
      </c>
      <c r="C812" s="33">
        <v>1</v>
      </c>
      <c r="D812" s="33">
        <v>0</v>
      </c>
      <c r="E812" s="33">
        <v>0</v>
      </c>
      <c r="F812" s="31">
        <v>0.41666666666666669</v>
      </c>
      <c r="G812" s="31">
        <v>0.91666666666666663</v>
      </c>
    </row>
    <row r="813" spans="2:7">
      <c r="B813" s="2">
        <v>45738</v>
      </c>
      <c r="C813" s="33">
        <v>1</v>
      </c>
      <c r="D813" s="33">
        <v>0</v>
      </c>
      <c r="E813" s="33">
        <v>0</v>
      </c>
      <c r="F813" s="31">
        <v>0.41666666666666669</v>
      </c>
      <c r="G813" s="31">
        <v>0.91666666666666663</v>
      </c>
    </row>
    <row r="814" spans="2:7">
      <c r="B814" s="2">
        <v>45739</v>
      </c>
      <c r="C814" s="33">
        <v>0</v>
      </c>
      <c r="D814" s="33">
        <v>1</v>
      </c>
      <c r="E814" s="33">
        <v>0</v>
      </c>
    </row>
    <row r="815" spans="2:7">
      <c r="B815" s="2">
        <v>45740</v>
      </c>
      <c r="C815" s="33">
        <v>1</v>
      </c>
      <c r="D815" s="33">
        <v>0</v>
      </c>
      <c r="E815" s="33">
        <v>1</v>
      </c>
      <c r="F815" s="31">
        <v>0.41666666666666669</v>
      </c>
      <c r="G815" s="31">
        <v>0.91666666666666663</v>
      </c>
    </row>
    <row r="816" spans="2:7">
      <c r="B816" s="2">
        <v>45741</v>
      </c>
      <c r="C816" s="33">
        <v>1</v>
      </c>
      <c r="D816" s="33">
        <v>0</v>
      </c>
      <c r="E816" s="33">
        <v>0</v>
      </c>
      <c r="F816" s="31">
        <v>0.41666666666666669</v>
      </c>
      <c r="G816" s="31">
        <v>0.91666666666666663</v>
      </c>
    </row>
    <row r="817" spans="2:7">
      <c r="B817" s="2">
        <v>45742</v>
      </c>
      <c r="C817" s="33">
        <v>1</v>
      </c>
      <c r="D817" s="33">
        <v>0</v>
      </c>
      <c r="E817" s="33">
        <v>0</v>
      </c>
      <c r="F817" s="31">
        <v>0.41666666666666669</v>
      </c>
      <c r="G817" s="31">
        <v>0.91666666666666663</v>
      </c>
    </row>
    <row r="818" spans="2:7">
      <c r="B818" s="2">
        <v>45743</v>
      </c>
      <c r="C818" s="33">
        <v>1</v>
      </c>
      <c r="D818" s="33">
        <v>0</v>
      </c>
      <c r="E818" s="33">
        <v>0</v>
      </c>
      <c r="F818" s="31">
        <v>0.41666666666666669</v>
      </c>
      <c r="G818" s="31">
        <v>0.91666666666666663</v>
      </c>
    </row>
    <row r="819" spans="2:7">
      <c r="B819" s="2">
        <v>45744</v>
      </c>
      <c r="C819" s="33">
        <v>1</v>
      </c>
      <c r="D819" s="33">
        <v>0</v>
      </c>
      <c r="E819" s="33">
        <v>0</v>
      </c>
      <c r="F819" s="31">
        <v>0.41666666666666669</v>
      </c>
      <c r="G819" s="31">
        <v>0.91666666666666663</v>
      </c>
    </row>
    <row r="820" spans="2:7">
      <c r="B820" s="2">
        <v>45745</v>
      </c>
      <c r="C820" s="33">
        <v>1</v>
      </c>
      <c r="D820" s="33">
        <v>0</v>
      </c>
      <c r="E820" s="33">
        <v>0</v>
      </c>
      <c r="F820" s="31">
        <v>0.41666666666666669</v>
      </c>
      <c r="G820" s="31">
        <v>0.91666666666666663</v>
      </c>
    </row>
    <row r="821" spans="2:7">
      <c r="B821" s="2">
        <v>45746</v>
      </c>
      <c r="C821" s="33">
        <v>1</v>
      </c>
      <c r="D821" s="33">
        <v>0</v>
      </c>
      <c r="E821" s="33">
        <v>0</v>
      </c>
      <c r="F821" s="31">
        <v>0.45833333333333331</v>
      </c>
      <c r="G821" s="31">
        <v>0.875</v>
      </c>
    </row>
    <row r="822" spans="2:7">
      <c r="B822" s="2">
        <v>45747</v>
      </c>
      <c r="C822" s="33">
        <v>1</v>
      </c>
      <c r="D822" s="33">
        <v>0</v>
      </c>
      <c r="E822" s="33">
        <v>0</v>
      </c>
      <c r="F822" s="31">
        <v>0.41666666666666669</v>
      </c>
      <c r="G822" s="31">
        <v>0.91666666666666663</v>
      </c>
    </row>
    <row r="823" spans="2:7">
      <c r="B823" s="2">
        <v>45748</v>
      </c>
      <c r="C823" s="33">
        <v>1</v>
      </c>
      <c r="D823" s="33">
        <v>0</v>
      </c>
      <c r="E823" s="33">
        <v>0</v>
      </c>
      <c r="F823" s="31">
        <v>0.41666666666666669</v>
      </c>
      <c r="G823" s="31">
        <v>0.91666666666666663</v>
      </c>
    </row>
    <row r="824" spans="2:7">
      <c r="B824" s="2">
        <v>45749</v>
      </c>
      <c r="C824" s="33">
        <v>1</v>
      </c>
      <c r="D824" s="33">
        <v>0</v>
      </c>
      <c r="E824" s="33">
        <v>0</v>
      </c>
      <c r="F824" s="31">
        <v>0.41666666666666669</v>
      </c>
      <c r="G824" s="31">
        <v>0.91666666666666663</v>
      </c>
    </row>
    <row r="825" spans="2:7">
      <c r="B825" s="2">
        <v>45750</v>
      </c>
      <c r="C825" s="33">
        <v>1</v>
      </c>
      <c r="D825" s="33">
        <v>0</v>
      </c>
      <c r="E825" s="33">
        <v>0</v>
      </c>
      <c r="F825" s="31">
        <v>0.41666666666666669</v>
      </c>
      <c r="G825" s="31">
        <v>0.91666666666666663</v>
      </c>
    </row>
    <row r="826" spans="2:7">
      <c r="B826" s="2">
        <v>45751</v>
      </c>
      <c r="C826" s="33">
        <v>1</v>
      </c>
      <c r="D826" s="33">
        <v>0</v>
      </c>
      <c r="E826" s="33">
        <v>0</v>
      </c>
      <c r="F826" s="31">
        <v>0.41666666666666669</v>
      </c>
      <c r="G826" s="31">
        <v>0.91666666666666663</v>
      </c>
    </row>
    <row r="827" spans="2:7">
      <c r="B827" s="2">
        <v>45752</v>
      </c>
      <c r="C827" s="33">
        <v>1</v>
      </c>
      <c r="D827" s="33">
        <v>0</v>
      </c>
      <c r="E827" s="33">
        <v>0</v>
      </c>
      <c r="F827" s="31">
        <v>0.41666666666666669</v>
      </c>
      <c r="G827" s="31">
        <v>0.91666666666666663</v>
      </c>
    </row>
    <row r="828" spans="2:7">
      <c r="B828" s="2">
        <v>45753</v>
      </c>
      <c r="C828" s="33">
        <v>0</v>
      </c>
      <c r="D828" s="33">
        <v>1</v>
      </c>
      <c r="E828" s="33">
        <v>0</v>
      </c>
    </row>
    <row r="829" spans="2:7">
      <c r="B829" s="2">
        <v>45754</v>
      </c>
      <c r="C829" s="33">
        <v>1</v>
      </c>
      <c r="D829" s="33">
        <v>0</v>
      </c>
      <c r="E829" s="33">
        <v>1</v>
      </c>
      <c r="F829" s="31">
        <v>0.41666666666666669</v>
      </c>
      <c r="G829" s="31">
        <v>0.91666666666666663</v>
      </c>
    </row>
    <row r="830" spans="2:7">
      <c r="B830" s="2">
        <v>45755</v>
      </c>
      <c r="C830" s="33">
        <v>1</v>
      </c>
      <c r="D830" s="33">
        <v>0</v>
      </c>
      <c r="E830" s="33">
        <v>0</v>
      </c>
      <c r="F830" s="31">
        <v>0.41666666666666669</v>
      </c>
      <c r="G830" s="31">
        <v>0.91666666666666663</v>
      </c>
    </row>
    <row r="831" spans="2:7">
      <c r="B831" s="2">
        <v>45756</v>
      </c>
      <c r="C831" s="33">
        <v>1</v>
      </c>
      <c r="D831" s="33">
        <v>0</v>
      </c>
      <c r="E831" s="33">
        <v>0</v>
      </c>
      <c r="F831" s="31">
        <v>0.41666666666666669</v>
      </c>
      <c r="G831" s="31">
        <v>0.91666666666666663</v>
      </c>
    </row>
    <row r="832" spans="2:7">
      <c r="B832" s="2">
        <v>45757</v>
      </c>
      <c r="C832" s="33">
        <v>1</v>
      </c>
      <c r="D832" s="33">
        <v>0</v>
      </c>
      <c r="E832" s="33">
        <v>0</v>
      </c>
      <c r="F832" s="31">
        <v>0.41666666666666669</v>
      </c>
      <c r="G832" s="31">
        <v>0.91666666666666663</v>
      </c>
    </row>
    <row r="833" spans="2:7">
      <c r="B833" s="2">
        <v>45758</v>
      </c>
      <c r="C833" s="33">
        <v>1</v>
      </c>
      <c r="D833" s="33">
        <v>0</v>
      </c>
      <c r="E833" s="33">
        <v>0</v>
      </c>
      <c r="F833" s="31">
        <v>0.41666666666666669</v>
      </c>
      <c r="G833" s="31">
        <v>0.91666666666666663</v>
      </c>
    </row>
    <row r="834" spans="2:7">
      <c r="B834" s="2">
        <v>45759</v>
      </c>
      <c r="C834" s="33">
        <v>1</v>
      </c>
      <c r="D834" s="33">
        <v>0</v>
      </c>
      <c r="E834" s="33">
        <v>0</v>
      </c>
      <c r="F834" s="31">
        <v>0.41666666666666669</v>
      </c>
      <c r="G834" s="31">
        <v>0.91666666666666663</v>
      </c>
    </row>
    <row r="835" spans="2:7">
      <c r="B835" s="2">
        <v>45760</v>
      </c>
      <c r="C835" s="33">
        <v>1</v>
      </c>
      <c r="D835" s="33">
        <v>0</v>
      </c>
      <c r="E835" s="33">
        <v>0</v>
      </c>
      <c r="F835" s="31">
        <v>0.45833333333333331</v>
      </c>
      <c r="G835" s="31">
        <v>0.875</v>
      </c>
    </row>
    <row r="836" spans="2:7">
      <c r="B836" s="2">
        <v>45761</v>
      </c>
      <c r="C836" s="33">
        <v>1</v>
      </c>
      <c r="D836" s="33">
        <v>0</v>
      </c>
      <c r="E836" s="33">
        <v>0</v>
      </c>
      <c r="F836" s="31">
        <v>0.41666666666666669</v>
      </c>
      <c r="G836" s="31">
        <v>0.91666666666666663</v>
      </c>
    </row>
    <row r="837" spans="2:7">
      <c r="B837" s="2">
        <v>45762</v>
      </c>
      <c r="C837" s="33">
        <v>1</v>
      </c>
      <c r="D837" s="33">
        <v>0</v>
      </c>
      <c r="E837" s="33">
        <v>0</v>
      </c>
      <c r="F837" s="31">
        <v>0.41666666666666669</v>
      </c>
      <c r="G837" s="31">
        <v>0.91666666666666663</v>
      </c>
    </row>
    <row r="838" spans="2:7">
      <c r="B838" s="2">
        <v>45763</v>
      </c>
      <c r="C838" s="33">
        <v>1</v>
      </c>
      <c r="D838" s="33">
        <v>0</v>
      </c>
      <c r="E838" s="33">
        <v>0</v>
      </c>
      <c r="F838" s="31">
        <v>0.41666666666666669</v>
      </c>
      <c r="G838" s="31">
        <v>0.91666666666666663</v>
      </c>
    </row>
    <row r="839" spans="2:7">
      <c r="B839" s="2">
        <v>45764</v>
      </c>
      <c r="C839" s="33">
        <v>1</v>
      </c>
      <c r="D839" s="33">
        <v>0</v>
      </c>
      <c r="E839" s="33">
        <v>0</v>
      </c>
      <c r="F839" s="31">
        <v>0.41666666666666669</v>
      </c>
      <c r="G839" s="31">
        <v>0.91666666666666663</v>
      </c>
    </row>
    <row r="840" spans="2:7">
      <c r="B840" s="2">
        <v>45765</v>
      </c>
      <c r="C840" s="33">
        <v>1</v>
      </c>
      <c r="D840" s="33">
        <v>0</v>
      </c>
      <c r="E840" s="33">
        <v>0</v>
      </c>
      <c r="F840" s="31">
        <v>0.45833333333333331</v>
      </c>
      <c r="G840" s="31">
        <v>0.875</v>
      </c>
    </row>
    <row r="841" spans="2:7">
      <c r="B841" s="2">
        <v>45766</v>
      </c>
      <c r="C841" s="33">
        <v>1</v>
      </c>
      <c r="D841" s="33">
        <v>0</v>
      </c>
      <c r="E841" s="33">
        <v>0</v>
      </c>
      <c r="F841" s="31">
        <v>0.41666666666666669</v>
      </c>
      <c r="G841" s="31">
        <v>0.91666666666666663</v>
      </c>
    </row>
    <row r="842" spans="2:7">
      <c r="B842" s="2">
        <v>45767</v>
      </c>
      <c r="C842" s="33">
        <v>1</v>
      </c>
      <c r="D842" s="33">
        <v>0</v>
      </c>
      <c r="E842" s="33">
        <v>0</v>
      </c>
      <c r="F842" s="31">
        <v>0.45833333333333331</v>
      </c>
      <c r="G842" s="31">
        <v>0.875</v>
      </c>
    </row>
    <row r="843" spans="2:7">
      <c r="B843" s="2">
        <v>45768</v>
      </c>
      <c r="C843" s="33">
        <v>0</v>
      </c>
      <c r="D843" s="33">
        <v>1</v>
      </c>
      <c r="E843" s="33">
        <v>0</v>
      </c>
    </row>
    <row r="844" spans="2:7">
      <c r="B844" s="2">
        <v>45769</v>
      </c>
      <c r="C844" s="33">
        <v>1</v>
      </c>
      <c r="D844" s="33">
        <v>0</v>
      </c>
      <c r="E844" s="33">
        <v>1</v>
      </c>
      <c r="F844" s="31">
        <v>0.41666666666666669</v>
      </c>
      <c r="G844" s="31">
        <v>0.91666666666666663</v>
      </c>
    </row>
    <row r="845" spans="2:7">
      <c r="B845" s="2">
        <v>45770</v>
      </c>
      <c r="C845" s="33">
        <v>1</v>
      </c>
      <c r="D845" s="33">
        <v>0</v>
      </c>
      <c r="E845" s="33">
        <v>0</v>
      </c>
      <c r="F845" s="31">
        <v>0.41666666666666669</v>
      </c>
      <c r="G845" s="31">
        <v>0.91666666666666663</v>
      </c>
    </row>
    <row r="846" spans="2:7">
      <c r="B846" s="2">
        <v>45771</v>
      </c>
      <c r="C846" s="33">
        <v>1</v>
      </c>
      <c r="D846" s="33">
        <v>0</v>
      </c>
      <c r="E846" s="33">
        <v>0</v>
      </c>
      <c r="F846" s="31">
        <v>0.41666666666666669</v>
      </c>
      <c r="G846" s="31">
        <v>0.91666666666666663</v>
      </c>
    </row>
    <row r="847" spans="2:7">
      <c r="B847" s="2">
        <v>45772</v>
      </c>
      <c r="C847" s="33">
        <v>1</v>
      </c>
      <c r="D847" s="33">
        <v>0</v>
      </c>
      <c r="E847" s="33">
        <v>0</v>
      </c>
      <c r="F847" s="31">
        <v>0.41666666666666669</v>
      </c>
      <c r="G847" s="31">
        <v>0.91666666666666663</v>
      </c>
    </row>
    <row r="848" spans="2:7">
      <c r="B848" s="2">
        <v>45773</v>
      </c>
      <c r="C848" s="33">
        <v>1</v>
      </c>
      <c r="D848" s="33">
        <v>0</v>
      </c>
      <c r="E848" s="33">
        <v>0</v>
      </c>
      <c r="F848" s="31">
        <v>0.41666666666666669</v>
      </c>
      <c r="G848" s="31">
        <v>0.91666666666666663</v>
      </c>
    </row>
    <row r="849" spans="2:7">
      <c r="B849" s="2">
        <v>45774</v>
      </c>
      <c r="C849" s="33">
        <v>1</v>
      </c>
      <c r="D849" s="33">
        <v>0</v>
      </c>
      <c r="E849" s="33">
        <v>0</v>
      </c>
      <c r="F849" s="31">
        <v>0.45833333333333331</v>
      </c>
      <c r="G849" s="31">
        <v>0.875</v>
      </c>
    </row>
    <row r="850" spans="2:7">
      <c r="B850" s="2">
        <v>45775</v>
      </c>
      <c r="C850" s="33">
        <v>0</v>
      </c>
      <c r="D850" s="33">
        <v>1</v>
      </c>
      <c r="E850" s="33">
        <v>0</v>
      </c>
    </row>
    <row r="851" spans="2:7">
      <c r="B851" s="2">
        <v>45776</v>
      </c>
      <c r="C851" s="33">
        <v>1</v>
      </c>
      <c r="D851" s="33">
        <v>0</v>
      </c>
      <c r="E851" s="33">
        <v>1</v>
      </c>
      <c r="F851" s="31">
        <v>0.41666666666666669</v>
      </c>
      <c r="G851" s="31">
        <v>0.91666666666666663</v>
      </c>
    </row>
    <row r="852" spans="2:7">
      <c r="B852" s="2">
        <v>45777</v>
      </c>
      <c r="C852" s="33">
        <v>1</v>
      </c>
      <c r="D852" s="33">
        <v>0</v>
      </c>
      <c r="E852" s="33">
        <v>0</v>
      </c>
      <c r="F852" s="31">
        <v>0.41666666666666669</v>
      </c>
      <c r="G852" s="31">
        <v>0.91666666666666663</v>
      </c>
    </row>
    <row r="853" spans="2:7">
      <c r="B853" s="2">
        <v>45778</v>
      </c>
      <c r="C853" s="33">
        <v>0</v>
      </c>
      <c r="D853" s="33">
        <v>1</v>
      </c>
      <c r="E853" s="33">
        <v>0</v>
      </c>
    </row>
    <row r="854" spans="2:7">
      <c r="B854" s="2">
        <v>45779</v>
      </c>
      <c r="C854" s="33">
        <v>1</v>
      </c>
      <c r="D854" s="33">
        <v>0</v>
      </c>
      <c r="E854" s="33">
        <v>1</v>
      </c>
      <c r="F854" s="31">
        <v>0.41666666666666669</v>
      </c>
      <c r="G854" s="31">
        <v>0.91666666666666663</v>
      </c>
    </row>
    <row r="855" spans="2:7">
      <c r="B855" s="2">
        <v>45780</v>
      </c>
      <c r="C855" s="33">
        <v>1</v>
      </c>
      <c r="D855" s="33">
        <v>0</v>
      </c>
      <c r="E855" s="33">
        <v>0</v>
      </c>
      <c r="F855" s="31">
        <v>0.41666666666666669</v>
      </c>
      <c r="G855" s="31">
        <v>0.91666666666666663</v>
      </c>
    </row>
    <row r="856" spans="2:7">
      <c r="B856" s="2">
        <v>45781</v>
      </c>
      <c r="C856" s="33">
        <v>0</v>
      </c>
      <c r="D856" s="33">
        <v>1</v>
      </c>
      <c r="E856" s="33">
        <v>0</v>
      </c>
    </row>
    <row r="857" spans="2:7">
      <c r="B857" s="2">
        <v>45782</v>
      </c>
      <c r="C857" s="33">
        <v>1</v>
      </c>
      <c r="D857" s="33">
        <v>0</v>
      </c>
      <c r="E857" s="33">
        <v>1</v>
      </c>
      <c r="F857" s="31">
        <v>0.41666666666666669</v>
      </c>
      <c r="G857" s="31">
        <v>0.91666666666666663</v>
      </c>
    </row>
    <row r="858" spans="2:7">
      <c r="B858" s="2">
        <v>45783</v>
      </c>
      <c r="C858" s="33">
        <v>1</v>
      </c>
      <c r="D858" s="33">
        <v>0</v>
      </c>
      <c r="E858" s="33">
        <v>0</v>
      </c>
      <c r="F858" s="31">
        <v>0.41666666666666669</v>
      </c>
      <c r="G858" s="31">
        <v>0.91666666666666663</v>
      </c>
    </row>
    <row r="859" spans="2:7">
      <c r="B859" s="2">
        <v>45784</v>
      </c>
      <c r="C859" s="33">
        <v>1</v>
      </c>
      <c r="D859" s="33">
        <v>0</v>
      </c>
      <c r="E859" s="33">
        <v>0</v>
      </c>
      <c r="F859" s="31">
        <v>0.41666666666666669</v>
      </c>
      <c r="G859" s="31">
        <v>0.91666666666666663</v>
      </c>
    </row>
    <row r="860" spans="2:7">
      <c r="B860" s="2">
        <v>45785</v>
      </c>
      <c r="C860" s="33">
        <v>1</v>
      </c>
      <c r="D860" s="33">
        <v>0</v>
      </c>
      <c r="E860" s="33">
        <v>0</v>
      </c>
      <c r="F860" s="31">
        <v>0.41666666666666669</v>
      </c>
      <c r="G860" s="31">
        <v>0.91666666666666663</v>
      </c>
    </row>
    <row r="861" spans="2:7">
      <c r="B861" s="2">
        <v>45786</v>
      </c>
      <c r="C861" s="33">
        <v>1</v>
      </c>
      <c r="D861" s="33">
        <v>0</v>
      </c>
      <c r="E861" s="33">
        <v>0</v>
      </c>
      <c r="F861" s="31">
        <v>0.41666666666666669</v>
      </c>
      <c r="G861" s="31">
        <v>0.91666666666666663</v>
      </c>
    </row>
    <row r="862" spans="2:7">
      <c r="B862" s="2">
        <v>45787</v>
      </c>
      <c r="C862" s="33">
        <v>1</v>
      </c>
      <c r="D862" s="33">
        <v>0</v>
      </c>
      <c r="E862" s="33">
        <v>0</v>
      </c>
      <c r="F862" s="31">
        <v>0.41666666666666669</v>
      </c>
      <c r="G862" s="31">
        <v>0.91666666666666663</v>
      </c>
    </row>
    <row r="863" spans="2:7">
      <c r="B863" s="2">
        <v>45788</v>
      </c>
      <c r="C863" s="33">
        <v>0</v>
      </c>
      <c r="D863" s="33">
        <v>1</v>
      </c>
      <c r="E863" s="33">
        <v>0</v>
      </c>
    </row>
    <row r="864" spans="2:7">
      <c r="B864" s="2">
        <v>45789</v>
      </c>
      <c r="C864" s="33">
        <v>1</v>
      </c>
      <c r="D864" s="33">
        <v>0</v>
      </c>
      <c r="E864" s="33">
        <v>1</v>
      </c>
      <c r="F864" s="31">
        <v>0.41666666666666669</v>
      </c>
      <c r="G864" s="31">
        <v>0.91666666666666663</v>
      </c>
    </row>
    <row r="865" spans="2:7">
      <c r="B865" s="2">
        <v>45790</v>
      </c>
      <c r="C865" s="33">
        <v>1</v>
      </c>
      <c r="D865" s="33">
        <v>0</v>
      </c>
      <c r="E865" s="33">
        <v>0</v>
      </c>
      <c r="F865" s="31">
        <v>0.41666666666666669</v>
      </c>
      <c r="G865" s="31">
        <v>0.91666666666666663</v>
      </c>
    </row>
    <row r="866" spans="2:7">
      <c r="B866" s="2">
        <v>45791</v>
      </c>
      <c r="C866" s="33">
        <v>1</v>
      </c>
      <c r="D866" s="33">
        <v>0</v>
      </c>
      <c r="E866" s="33">
        <v>0</v>
      </c>
      <c r="F866" s="31">
        <v>0.41666666666666669</v>
      </c>
      <c r="G866" s="31">
        <v>0.91666666666666663</v>
      </c>
    </row>
    <row r="867" spans="2:7">
      <c r="B867" s="2">
        <v>45792</v>
      </c>
      <c r="C867" s="33">
        <v>1</v>
      </c>
      <c r="D867" s="33">
        <v>0</v>
      </c>
      <c r="E867" s="33">
        <v>0</v>
      </c>
      <c r="F867" s="31">
        <v>0.41666666666666669</v>
      </c>
      <c r="G867" s="31">
        <v>0.91666666666666663</v>
      </c>
    </row>
    <row r="868" spans="2:7">
      <c r="B868" s="2">
        <v>45793</v>
      </c>
      <c r="C868" s="33">
        <v>1</v>
      </c>
      <c r="D868" s="33">
        <v>0</v>
      </c>
      <c r="E868" s="33">
        <v>0</v>
      </c>
      <c r="F868" s="31">
        <v>0.41666666666666669</v>
      </c>
      <c r="G868" s="31">
        <v>0.91666666666666663</v>
      </c>
    </row>
    <row r="869" spans="2:7">
      <c r="B869" s="2">
        <v>45794</v>
      </c>
      <c r="C869" s="33">
        <v>1</v>
      </c>
      <c r="D869" s="33">
        <v>0</v>
      </c>
      <c r="E869" s="33">
        <v>0</v>
      </c>
      <c r="F869" s="31">
        <v>0.41666666666666669</v>
      </c>
      <c r="G869" s="31">
        <v>0.91666666666666663</v>
      </c>
    </row>
    <row r="870" spans="2:7">
      <c r="B870" s="2">
        <v>45795</v>
      </c>
      <c r="C870" s="33">
        <v>0</v>
      </c>
      <c r="D870" s="33">
        <v>1</v>
      </c>
      <c r="E870" s="33">
        <v>0</v>
      </c>
    </row>
    <row r="871" spans="2:7">
      <c r="B871" s="2">
        <v>45796</v>
      </c>
      <c r="C871" s="33">
        <v>1</v>
      </c>
      <c r="D871" s="33">
        <v>0</v>
      </c>
      <c r="E871" s="33">
        <v>1</v>
      </c>
      <c r="F871" s="31">
        <v>0.41666666666666669</v>
      </c>
      <c r="G871" s="31">
        <v>0.91666666666666663</v>
      </c>
    </row>
    <row r="872" spans="2:7">
      <c r="B872" s="2">
        <v>45797</v>
      </c>
      <c r="C872" s="33">
        <v>1</v>
      </c>
      <c r="D872" s="33">
        <v>0</v>
      </c>
      <c r="E872" s="33">
        <v>0</v>
      </c>
      <c r="F872" s="31">
        <v>0.41666666666666669</v>
      </c>
      <c r="G872" s="31">
        <v>0.91666666666666663</v>
      </c>
    </row>
    <row r="873" spans="2:7">
      <c r="B873" s="2">
        <v>45798</v>
      </c>
      <c r="C873" s="33">
        <v>1</v>
      </c>
      <c r="D873" s="33">
        <v>0</v>
      </c>
      <c r="E873" s="33">
        <v>0</v>
      </c>
      <c r="F873" s="31">
        <v>0.41666666666666669</v>
      </c>
      <c r="G873" s="31">
        <v>0.91666666666666663</v>
      </c>
    </row>
    <row r="874" spans="2:7">
      <c r="B874" s="2">
        <v>45799</v>
      </c>
      <c r="C874" s="33">
        <v>1</v>
      </c>
      <c r="D874" s="33">
        <v>0</v>
      </c>
      <c r="E874" s="33">
        <v>0</v>
      </c>
      <c r="F874" s="31">
        <v>0.41666666666666669</v>
      </c>
      <c r="G874" s="31">
        <v>0.91666666666666663</v>
      </c>
    </row>
    <row r="875" spans="2:7">
      <c r="B875" s="2">
        <v>45800</v>
      </c>
      <c r="C875" s="33">
        <v>1</v>
      </c>
      <c r="D875" s="33">
        <v>0</v>
      </c>
      <c r="E875" s="33">
        <v>0</v>
      </c>
      <c r="F875" s="31">
        <v>0.41666666666666669</v>
      </c>
      <c r="G875" s="31">
        <v>0.91666666666666663</v>
      </c>
    </row>
    <row r="876" spans="2:7">
      <c r="B876" s="2">
        <v>45801</v>
      </c>
      <c r="C876" s="33">
        <v>1</v>
      </c>
      <c r="D876" s="33">
        <v>0</v>
      </c>
      <c r="E876" s="33">
        <v>0</v>
      </c>
      <c r="F876" s="31">
        <v>0.41666666666666669</v>
      </c>
      <c r="G876" s="31">
        <v>0.91666666666666663</v>
      </c>
    </row>
    <row r="877" spans="2:7">
      <c r="B877" s="2">
        <v>45802</v>
      </c>
      <c r="C877" s="33">
        <v>0</v>
      </c>
      <c r="D877" s="33">
        <v>1</v>
      </c>
      <c r="E877" s="33">
        <v>0</v>
      </c>
    </row>
    <row r="878" spans="2:7">
      <c r="B878" s="2">
        <v>45803</v>
      </c>
      <c r="C878" s="33">
        <v>1</v>
      </c>
      <c r="D878" s="33">
        <v>0</v>
      </c>
      <c r="E878" s="33">
        <v>1</v>
      </c>
      <c r="F878" s="31">
        <v>0.41666666666666669</v>
      </c>
      <c r="G878" s="31">
        <v>0.91666666666666663</v>
      </c>
    </row>
    <row r="879" spans="2:7">
      <c r="B879" s="2">
        <v>45804</v>
      </c>
      <c r="C879" s="33">
        <v>1</v>
      </c>
      <c r="D879" s="33">
        <v>0</v>
      </c>
      <c r="E879" s="33">
        <v>0</v>
      </c>
      <c r="F879" s="31">
        <v>0.41666666666666669</v>
      </c>
      <c r="G879" s="31">
        <v>0.91666666666666663</v>
      </c>
    </row>
    <row r="880" spans="2:7">
      <c r="B880" s="2">
        <v>45805</v>
      </c>
      <c r="C880" s="33">
        <v>1</v>
      </c>
      <c r="D880" s="33">
        <v>0</v>
      </c>
      <c r="E880" s="33">
        <v>0</v>
      </c>
      <c r="F880" s="31">
        <v>0.41666666666666669</v>
      </c>
      <c r="G880" s="31">
        <v>0.91666666666666663</v>
      </c>
    </row>
    <row r="881" spans="2:7">
      <c r="B881" s="2">
        <v>45806</v>
      </c>
      <c r="C881" s="33">
        <v>1</v>
      </c>
      <c r="D881" s="33">
        <v>0</v>
      </c>
      <c r="E881" s="33">
        <v>0</v>
      </c>
      <c r="F881" s="31">
        <v>0.41666666666666669</v>
      </c>
      <c r="G881" s="31">
        <v>0.91666666666666663</v>
      </c>
    </row>
    <row r="882" spans="2:7">
      <c r="B882" s="2">
        <v>45807</v>
      </c>
      <c r="C882" s="33">
        <v>1</v>
      </c>
      <c r="D882" s="33">
        <v>0</v>
      </c>
      <c r="E882" s="33">
        <v>0</v>
      </c>
      <c r="F882" s="31">
        <v>0.41666666666666669</v>
      </c>
      <c r="G882" s="31">
        <v>0.91666666666666663</v>
      </c>
    </row>
    <row r="883" spans="2:7">
      <c r="B883" s="2">
        <v>45808</v>
      </c>
      <c r="C883" s="33">
        <v>1</v>
      </c>
      <c r="D883" s="33">
        <v>0</v>
      </c>
      <c r="E883" s="33">
        <v>0</v>
      </c>
      <c r="F883" s="31">
        <v>0.41666666666666669</v>
      </c>
      <c r="G883" s="31">
        <v>0.91666666666666663</v>
      </c>
    </row>
    <row r="884" spans="2:7">
      <c r="B884" s="2">
        <v>45809</v>
      </c>
      <c r="C884" s="33">
        <v>0</v>
      </c>
      <c r="D884" s="33">
        <v>1</v>
      </c>
      <c r="E884" s="33">
        <v>0</v>
      </c>
    </row>
    <row r="885" spans="2:7">
      <c r="B885" s="2">
        <v>45810</v>
      </c>
      <c r="C885" s="33">
        <v>1</v>
      </c>
      <c r="D885" s="33">
        <v>0</v>
      </c>
      <c r="E885" s="33">
        <v>1</v>
      </c>
      <c r="F885" s="31">
        <v>0.41666666666666669</v>
      </c>
      <c r="G885" s="31">
        <v>0.91666666666666663</v>
      </c>
    </row>
    <row r="886" spans="2:7">
      <c r="B886" s="2">
        <v>45811</v>
      </c>
      <c r="C886" s="33">
        <v>1</v>
      </c>
      <c r="D886" s="33">
        <v>0</v>
      </c>
      <c r="E886" s="33">
        <v>0</v>
      </c>
      <c r="F886" s="31">
        <v>0.41666666666666669</v>
      </c>
      <c r="G886" s="31">
        <v>0.91666666666666663</v>
      </c>
    </row>
    <row r="887" spans="2:7">
      <c r="B887" s="2">
        <v>45812</v>
      </c>
      <c r="C887" s="33">
        <v>1</v>
      </c>
      <c r="D887" s="33">
        <v>0</v>
      </c>
      <c r="E887" s="33">
        <v>0</v>
      </c>
      <c r="F887" s="31">
        <v>0.41666666666666669</v>
      </c>
      <c r="G887" s="31">
        <v>0.91666666666666663</v>
      </c>
    </row>
    <row r="888" spans="2:7">
      <c r="B888" s="2">
        <v>45813</v>
      </c>
      <c r="C888" s="33">
        <v>1</v>
      </c>
      <c r="D888" s="33">
        <v>0</v>
      </c>
      <c r="E888" s="33">
        <v>0</v>
      </c>
      <c r="F888" s="31">
        <v>0.41666666666666669</v>
      </c>
      <c r="G888" s="31">
        <v>0.91666666666666663</v>
      </c>
    </row>
    <row r="889" spans="2:7">
      <c r="B889" s="2">
        <v>45814</v>
      </c>
      <c r="C889" s="33">
        <v>1</v>
      </c>
      <c r="D889" s="33">
        <v>0</v>
      </c>
      <c r="E889" s="33">
        <v>0</v>
      </c>
      <c r="F889" s="31">
        <v>0.41666666666666669</v>
      </c>
      <c r="G889" s="31">
        <v>0.91666666666666663</v>
      </c>
    </row>
    <row r="890" spans="2:7">
      <c r="B890" s="2">
        <v>45815</v>
      </c>
      <c r="C890" s="33">
        <v>1</v>
      </c>
      <c r="D890" s="33">
        <v>0</v>
      </c>
      <c r="E890" s="33">
        <v>0</v>
      </c>
      <c r="F890" s="31">
        <v>0.41666666666666669</v>
      </c>
      <c r="G890" s="31">
        <v>0.91666666666666663</v>
      </c>
    </row>
    <row r="891" spans="2:7">
      <c r="B891" s="2">
        <v>45816</v>
      </c>
      <c r="C891" s="33">
        <v>0</v>
      </c>
      <c r="D891" s="33">
        <v>1</v>
      </c>
      <c r="E891" s="33">
        <v>0</v>
      </c>
    </row>
    <row r="892" spans="2:7">
      <c r="B892" s="2">
        <v>45817</v>
      </c>
      <c r="C892" s="33">
        <v>1</v>
      </c>
      <c r="D892" s="33">
        <v>0</v>
      </c>
      <c r="E892" s="33">
        <v>1</v>
      </c>
      <c r="F892" s="31">
        <v>0.41666666666666669</v>
      </c>
      <c r="G892" s="31">
        <v>0.91666666666666663</v>
      </c>
    </row>
    <row r="893" spans="2:7">
      <c r="B893" s="2">
        <v>45818</v>
      </c>
      <c r="C893" s="33">
        <v>1</v>
      </c>
      <c r="D893" s="33">
        <v>0</v>
      </c>
      <c r="E893" s="33">
        <v>0</v>
      </c>
      <c r="F893" s="31">
        <v>0.41666666666666669</v>
      </c>
      <c r="G893" s="31">
        <v>0.91666666666666663</v>
      </c>
    </row>
    <row r="894" spans="2:7">
      <c r="B894" s="2">
        <v>45819</v>
      </c>
      <c r="C894" s="33">
        <v>1</v>
      </c>
      <c r="D894" s="33">
        <v>0</v>
      </c>
      <c r="E894" s="33">
        <v>0</v>
      </c>
      <c r="F894" s="31">
        <v>0.41666666666666669</v>
      </c>
      <c r="G894" s="31">
        <v>0.91666666666666663</v>
      </c>
    </row>
    <row r="895" spans="2:7">
      <c r="B895" s="2">
        <v>45820</v>
      </c>
      <c r="C895" s="33">
        <v>1</v>
      </c>
      <c r="D895" s="33">
        <v>0</v>
      </c>
      <c r="E895" s="33">
        <v>0</v>
      </c>
      <c r="F895" s="31">
        <v>0.41666666666666669</v>
      </c>
      <c r="G895" s="31">
        <v>0.91666666666666663</v>
      </c>
    </row>
    <row r="896" spans="2:7">
      <c r="B896" s="2">
        <v>45821</v>
      </c>
      <c r="C896" s="33">
        <v>1</v>
      </c>
      <c r="D896" s="33">
        <v>0</v>
      </c>
      <c r="E896" s="33">
        <v>0</v>
      </c>
      <c r="F896" s="31">
        <v>0.41666666666666669</v>
      </c>
      <c r="G896" s="31">
        <v>0.91666666666666663</v>
      </c>
    </row>
    <row r="897" spans="2:7">
      <c r="B897" s="2">
        <v>45822</v>
      </c>
      <c r="C897" s="33">
        <v>1</v>
      </c>
      <c r="D897" s="33">
        <v>0</v>
      </c>
      <c r="E897" s="33">
        <v>0</v>
      </c>
      <c r="F897" s="31">
        <v>0.41666666666666669</v>
      </c>
      <c r="G897" s="31">
        <v>0.91666666666666663</v>
      </c>
    </row>
    <row r="898" spans="2:7">
      <c r="B898" s="2">
        <v>45823</v>
      </c>
      <c r="C898" s="33">
        <v>0</v>
      </c>
      <c r="D898" s="33">
        <v>1</v>
      </c>
      <c r="E898" s="33">
        <v>0</v>
      </c>
    </row>
    <row r="899" spans="2:7">
      <c r="B899" s="2">
        <v>45824</v>
      </c>
      <c r="C899" s="33">
        <v>1</v>
      </c>
      <c r="D899" s="33">
        <v>0</v>
      </c>
      <c r="E899" s="33">
        <v>1</v>
      </c>
      <c r="F899" s="31">
        <v>0.41666666666666669</v>
      </c>
      <c r="G899" s="31">
        <v>0.91666666666666663</v>
      </c>
    </row>
    <row r="900" spans="2:7">
      <c r="B900" s="2">
        <v>45825</v>
      </c>
      <c r="C900" s="33">
        <v>1</v>
      </c>
      <c r="D900" s="33">
        <v>0</v>
      </c>
      <c r="E900" s="33">
        <v>0</v>
      </c>
      <c r="F900" s="31">
        <v>0.41666666666666669</v>
      </c>
      <c r="G900" s="31">
        <v>0.91666666666666663</v>
      </c>
    </row>
    <row r="901" spans="2:7">
      <c r="B901" s="2">
        <v>45826</v>
      </c>
      <c r="C901" s="33">
        <v>1</v>
      </c>
      <c r="D901" s="33">
        <v>0</v>
      </c>
      <c r="E901" s="33">
        <v>0</v>
      </c>
      <c r="F901" s="31">
        <v>0.41666666666666669</v>
      </c>
      <c r="G901" s="31">
        <v>0.91666666666666663</v>
      </c>
    </row>
    <row r="902" spans="2:7">
      <c r="B902" s="2">
        <v>45827</v>
      </c>
      <c r="C902" s="33">
        <v>1</v>
      </c>
      <c r="D902" s="33">
        <v>0</v>
      </c>
      <c r="E902" s="33">
        <v>0</v>
      </c>
      <c r="F902" s="31">
        <v>0.41666666666666669</v>
      </c>
      <c r="G902" s="31">
        <v>0.91666666666666663</v>
      </c>
    </row>
    <row r="903" spans="2:7">
      <c r="B903" s="2">
        <v>45828</v>
      </c>
      <c r="C903" s="33">
        <v>1</v>
      </c>
      <c r="D903" s="33">
        <v>0</v>
      </c>
      <c r="E903" s="33">
        <v>0</v>
      </c>
      <c r="F903" s="31">
        <v>0.41666666666666669</v>
      </c>
      <c r="G903" s="31">
        <v>0.91666666666666663</v>
      </c>
    </row>
    <row r="904" spans="2:7">
      <c r="B904" s="2">
        <v>45829</v>
      </c>
      <c r="C904" s="33">
        <v>1</v>
      </c>
      <c r="D904" s="33">
        <v>0</v>
      </c>
      <c r="E904" s="33">
        <v>0</v>
      </c>
      <c r="F904" s="31">
        <v>0.41666666666666669</v>
      </c>
      <c r="G904" s="31">
        <v>0.91666666666666663</v>
      </c>
    </row>
    <row r="905" spans="2:7">
      <c r="B905" s="2">
        <v>45830</v>
      </c>
      <c r="C905" s="33">
        <v>1</v>
      </c>
      <c r="D905" s="33">
        <v>0</v>
      </c>
      <c r="E905" s="33">
        <v>0</v>
      </c>
      <c r="F905" s="31">
        <v>0.45833333333333331</v>
      </c>
      <c r="G905" s="31">
        <v>0.875</v>
      </c>
    </row>
    <row r="906" spans="2:7">
      <c r="B906" s="2">
        <v>45831</v>
      </c>
      <c r="C906" s="33">
        <v>1</v>
      </c>
      <c r="D906" s="33">
        <v>0</v>
      </c>
      <c r="E906" s="33">
        <v>0</v>
      </c>
      <c r="F906" s="31">
        <v>0.41666666666666669</v>
      </c>
      <c r="G906" s="31">
        <v>0.91666666666666663</v>
      </c>
    </row>
    <row r="907" spans="2:7">
      <c r="B907" s="2">
        <v>45832</v>
      </c>
      <c r="C907" s="33">
        <v>1</v>
      </c>
      <c r="D907" s="33">
        <v>0</v>
      </c>
      <c r="E907" s="33">
        <v>0</v>
      </c>
      <c r="F907" s="31">
        <v>0.45833333333333331</v>
      </c>
      <c r="G907" s="31">
        <v>0.875</v>
      </c>
    </row>
    <row r="908" spans="2:7">
      <c r="B908" s="2">
        <v>45833</v>
      </c>
      <c r="C908" s="33">
        <v>1</v>
      </c>
      <c r="D908" s="33">
        <v>0</v>
      </c>
      <c r="E908" s="33">
        <v>0</v>
      </c>
      <c r="F908" s="31">
        <v>0.41666666666666669</v>
      </c>
      <c r="G908" s="31">
        <v>0.91666666666666663</v>
      </c>
    </row>
    <row r="909" spans="2:7">
      <c r="B909" s="2">
        <v>45834</v>
      </c>
      <c r="C909" s="33">
        <v>1</v>
      </c>
      <c r="D909" s="33">
        <v>0</v>
      </c>
      <c r="E909" s="33">
        <v>0</v>
      </c>
      <c r="F909" s="31">
        <v>0.41666666666666669</v>
      </c>
      <c r="G909" s="31">
        <v>0.91666666666666663</v>
      </c>
    </row>
    <row r="910" spans="2:7">
      <c r="B910" s="2">
        <v>45835</v>
      </c>
      <c r="C910" s="33">
        <v>1</v>
      </c>
      <c r="D910" s="33">
        <v>0</v>
      </c>
      <c r="E910" s="33">
        <v>0</v>
      </c>
      <c r="F910" s="31">
        <v>0.41666666666666669</v>
      </c>
      <c r="G910" s="31">
        <v>0.91666666666666663</v>
      </c>
    </row>
    <row r="911" spans="2:7">
      <c r="B911" s="2">
        <v>45836</v>
      </c>
      <c r="C911" s="33">
        <v>1</v>
      </c>
      <c r="D911" s="33">
        <v>0</v>
      </c>
      <c r="E911" s="33">
        <v>0</v>
      </c>
      <c r="F911" s="31">
        <v>0.41666666666666669</v>
      </c>
      <c r="G911" s="31">
        <v>0.91666666666666663</v>
      </c>
    </row>
    <row r="912" spans="2:7">
      <c r="B912" s="2">
        <v>45837</v>
      </c>
      <c r="C912" s="33">
        <v>1</v>
      </c>
      <c r="D912" s="33">
        <v>0</v>
      </c>
      <c r="E912" s="33">
        <v>0</v>
      </c>
      <c r="F912" s="31">
        <v>0.45833333333333331</v>
      </c>
      <c r="G912" s="31">
        <v>0.875</v>
      </c>
    </row>
    <row r="913" spans="2:7">
      <c r="B913" s="2">
        <v>45838</v>
      </c>
      <c r="C913" s="33">
        <v>1</v>
      </c>
      <c r="D913" s="33">
        <v>0</v>
      </c>
      <c r="E913" s="33">
        <v>0</v>
      </c>
      <c r="F913" s="31">
        <v>0.41666666666666669</v>
      </c>
      <c r="G913" s="31">
        <v>0.91666666666666663</v>
      </c>
    </row>
    <row r="914" spans="2:7">
      <c r="B914" s="2">
        <v>45839</v>
      </c>
      <c r="C914" s="33">
        <v>1</v>
      </c>
      <c r="D914" s="33">
        <v>0</v>
      </c>
      <c r="E914" s="33">
        <v>0</v>
      </c>
      <c r="F914" s="31">
        <v>0.41666666666666669</v>
      </c>
      <c r="G914" s="31">
        <v>0.91666666666666663</v>
      </c>
    </row>
    <row r="915" spans="2:7">
      <c r="B915" s="2">
        <v>45840</v>
      </c>
      <c r="C915" s="33">
        <v>1</v>
      </c>
      <c r="D915" s="33">
        <v>0</v>
      </c>
      <c r="E915" s="33">
        <v>0</v>
      </c>
      <c r="F915" s="31">
        <v>0.41666666666666669</v>
      </c>
      <c r="G915" s="31">
        <v>0.91666666666666663</v>
      </c>
    </row>
    <row r="916" spans="2:7">
      <c r="B916" s="2">
        <v>45841</v>
      </c>
      <c r="C916" s="33">
        <v>1</v>
      </c>
      <c r="D916" s="33">
        <v>0</v>
      </c>
      <c r="E916" s="33">
        <v>0</v>
      </c>
      <c r="F916" s="31">
        <v>0.41666666666666669</v>
      </c>
      <c r="G916" s="31">
        <v>0.91666666666666663</v>
      </c>
    </row>
    <row r="917" spans="2:7">
      <c r="B917" s="2">
        <v>45842</v>
      </c>
      <c r="C917" s="33">
        <v>1</v>
      </c>
      <c r="D917" s="33">
        <v>0</v>
      </c>
      <c r="E917" s="33">
        <v>0</v>
      </c>
      <c r="F917" s="31">
        <v>0.41666666666666669</v>
      </c>
      <c r="G917" s="31">
        <v>0.91666666666666663</v>
      </c>
    </row>
    <row r="918" spans="2:7">
      <c r="B918" s="2">
        <v>45843</v>
      </c>
      <c r="C918" s="33">
        <v>1</v>
      </c>
      <c r="D918" s="33">
        <v>0</v>
      </c>
      <c r="E918" s="33">
        <v>0</v>
      </c>
      <c r="F918" s="31">
        <v>0.41666666666666669</v>
      </c>
      <c r="G918" s="31">
        <v>0.91666666666666663</v>
      </c>
    </row>
    <row r="919" spans="2:7">
      <c r="B919" s="2">
        <v>45844</v>
      </c>
      <c r="C919" s="33">
        <v>1</v>
      </c>
      <c r="D919" s="33">
        <v>0</v>
      </c>
      <c r="E919" s="33">
        <v>0</v>
      </c>
      <c r="F919" s="31">
        <v>0.45833333333333331</v>
      </c>
      <c r="G919" s="31">
        <v>0.875</v>
      </c>
    </row>
    <row r="920" spans="2:7">
      <c r="B920" s="2">
        <v>45845</v>
      </c>
      <c r="C920" s="33">
        <v>1</v>
      </c>
      <c r="D920" s="33">
        <v>0</v>
      </c>
      <c r="E920" s="33">
        <v>0</v>
      </c>
      <c r="F920" s="31">
        <v>0.41666666666666669</v>
      </c>
      <c r="G920" s="31">
        <v>0.91666666666666663</v>
      </c>
    </row>
    <row r="921" spans="2:7">
      <c r="B921" s="2">
        <v>45846</v>
      </c>
      <c r="C921" s="33">
        <v>1</v>
      </c>
      <c r="D921" s="33">
        <v>0</v>
      </c>
      <c r="E921" s="33">
        <v>0</v>
      </c>
      <c r="F921" s="31">
        <v>0.41666666666666669</v>
      </c>
      <c r="G921" s="31">
        <v>0.91666666666666663</v>
      </c>
    </row>
    <row r="922" spans="2:7">
      <c r="B922" s="2">
        <v>45847</v>
      </c>
      <c r="C922" s="33">
        <v>1</v>
      </c>
      <c r="D922" s="33">
        <v>0</v>
      </c>
      <c r="E922" s="33">
        <v>0</v>
      </c>
      <c r="F922" s="31">
        <v>0.41666666666666669</v>
      </c>
      <c r="G922" s="31">
        <v>0.91666666666666663</v>
      </c>
    </row>
    <row r="923" spans="2:7">
      <c r="B923" s="2">
        <v>45848</v>
      </c>
      <c r="C923" s="33">
        <v>1</v>
      </c>
      <c r="D923" s="33">
        <v>0</v>
      </c>
      <c r="E923" s="33">
        <v>0</v>
      </c>
      <c r="F923" s="31">
        <v>0.41666666666666669</v>
      </c>
      <c r="G923" s="31">
        <v>0.91666666666666663</v>
      </c>
    </row>
    <row r="924" spans="2:7">
      <c r="B924" s="2">
        <v>45849</v>
      </c>
      <c r="C924" s="33">
        <v>1</v>
      </c>
      <c r="D924" s="33">
        <v>0</v>
      </c>
      <c r="E924" s="33">
        <v>0</v>
      </c>
      <c r="F924" s="31">
        <v>0.41666666666666669</v>
      </c>
      <c r="G924" s="31">
        <v>0.91666666666666663</v>
      </c>
    </row>
    <row r="925" spans="2:7">
      <c r="B925" s="2">
        <v>45850</v>
      </c>
      <c r="C925" s="33">
        <v>1</v>
      </c>
      <c r="D925" s="33">
        <v>0</v>
      </c>
      <c r="E925" s="33">
        <v>0</v>
      </c>
      <c r="F925" s="31">
        <v>0.41666666666666669</v>
      </c>
      <c r="G925" s="31">
        <v>0.91666666666666663</v>
      </c>
    </row>
    <row r="926" spans="2:7">
      <c r="B926" s="2">
        <v>45851</v>
      </c>
      <c r="C926" s="33">
        <v>1</v>
      </c>
      <c r="D926" s="33">
        <v>0</v>
      </c>
      <c r="E926" s="33">
        <v>0</v>
      </c>
      <c r="F926" s="31">
        <v>0.45833333333333331</v>
      </c>
      <c r="G926" s="31">
        <v>0.875</v>
      </c>
    </row>
    <row r="927" spans="2:7">
      <c r="B927" s="2">
        <v>45852</v>
      </c>
      <c r="C927" s="33">
        <v>1</v>
      </c>
      <c r="D927" s="33">
        <v>0</v>
      </c>
      <c r="E927" s="33">
        <v>0</v>
      </c>
      <c r="F927" s="31">
        <v>0.41666666666666669</v>
      </c>
      <c r="G927" s="31">
        <v>0.91666666666666663</v>
      </c>
    </row>
    <row r="928" spans="2:7">
      <c r="B928" s="2">
        <v>45853</v>
      </c>
      <c r="C928" s="33">
        <v>1</v>
      </c>
      <c r="D928" s="33">
        <v>0</v>
      </c>
      <c r="E928" s="33">
        <v>0</v>
      </c>
      <c r="F928" s="31">
        <v>0.41666666666666669</v>
      </c>
      <c r="G928" s="31">
        <v>0.91666666666666663</v>
      </c>
    </row>
    <row r="929" spans="2:7">
      <c r="B929" s="2">
        <v>45854</v>
      </c>
      <c r="C929" s="33">
        <v>1</v>
      </c>
      <c r="D929" s="33">
        <v>0</v>
      </c>
      <c r="E929" s="33">
        <v>0</v>
      </c>
      <c r="F929" s="31">
        <v>0.41666666666666669</v>
      </c>
      <c r="G929" s="31">
        <v>0.91666666666666663</v>
      </c>
    </row>
    <row r="930" spans="2:7">
      <c r="B930" s="2">
        <v>45855</v>
      </c>
      <c r="C930" s="33">
        <v>1</v>
      </c>
      <c r="D930" s="33">
        <v>0</v>
      </c>
      <c r="E930" s="33">
        <v>0</v>
      </c>
      <c r="F930" s="31">
        <v>0.41666666666666669</v>
      </c>
      <c r="G930" s="31">
        <v>0.91666666666666663</v>
      </c>
    </row>
    <row r="931" spans="2:7">
      <c r="B931" s="2">
        <v>45856</v>
      </c>
      <c r="C931" s="33">
        <v>1</v>
      </c>
      <c r="D931" s="33">
        <v>0</v>
      </c>
      <c r="E931" s="33">
        <v>0</v>
      </c>
      <c r="F931" s="31">
        <v>0.41666666666666669</v>
      </c>
      <c r="G931" s="31">
        <v>0.91666666666666663</v>
      </c>
    </row>
    <row r="932" spans="2:7">
      <c r="B932" s="2">
        <v>45857</v>
      </c>
      <c r="C932" s="33">
        <v>1</v>
      </c>
      <c r="D932" s="33">
        <v>0</v>
      </c>
      <c r="E932" s="33">
        <v>0</v>
      </c>
      <c r="F932" s="31">
        <v>0.41666666666666669</v>
      </c>
      <c r="G932" s="31">
        <v>0.91666666666666663</v>
      </c>
    </row>
    <row r="933" spans="2:7">
      <c r="B933" s="2">
        <v>45858</v>
      </c>
      <c r="C933" s="33">
        <v>1</v>
      </c>
      <c r="D933" s="33">
        <v>0</v>
      </c>
      <c r="E933" s="33">
        <v>0</v>
      </c>
      <c r="F933" s="31">
        <v>0.45833333333333331</v>
      </c>
      <c r="G933" s="31">
        <v>0.875</v>
      </c>
    </row>
    <row r="934" spans="2:7">
      <c r="B934" s="2">
        <v>45859</v>
      </c>
      <c r="C934" s="33">
        <v>1</v>
      </c>
      <c r="D934" s="33">
        <v>0</v>
      </c>
      <c r="E934" s="33">
        <v>0</v>
      </c>
      <c r="F934" s="31">
        <v>0.41666666666666669</v>
      </c>
      <c r="G934" s="31">
        <v>0.91666666666666663</v>
      </c>
    </row>
    <row r="935" spans="2:7">
      <c r="B935" s="2">
        <v>45860</v>
      </c>
      <c r="C935" s="33">
        <v>1</v>
      </c>
      <c r="D935" s="33">
        <v>0</v>
      </c>
      <c r="E935" s="33">
        <v>0</v>
      </c>
      <c r="F935" s="31">
        <v>0.41666666666666669</v>
      </c>
      <c r="G935" s="31">
        <v>0.91666666666666663</v>
      </c>
    </row>
    <row r="936" spans="2:7">
      <c r="B936" s="2">
        <v>45861</v>
      </c>
      <c r="C936" s="33">
        <v>1</v>
      </c>
      <c r="D936" s="33">
        <v>0</v>
      </c>
      <c r="E936" s="33">
        <v>0</v>
      </c>
      <c r="F936" s="31">
        <v>0.41666666666666669</v>
      </c>
      <c r="G936" s="31">
        <v>0.91666666666666663</v>
      </c>
    </row>
    <row r="937" spans="2:7">
      <c r="B937" s="2">
        <v>45862</v>
      </c>
      <c r="C937" s="33">
        <v>1</v>
      </c>
      <c r="D937" s="33">
        <v>0</v>
      </c>
      <c r="E937" s="33">
        <v>0</v>
      </c>
      <c r="F937" s="31">
        <v>0.41666666666666669</v>
      </c>
      <c r="G937" s="31">
        <v>0.91666666666666663</v>
      </c>
    </row>
    <row r="938" spans="2:7">
      <c r="B938" s="2">
        <v>45863</v>
      </c>
      <c r="C938" s="33">
        <v>1</v>
      </c>
      <c r="D938" s="33">
        <v>0</v>
      </c>
      <c r="E938" s="33">
        <v>0</v>
      </c>
      <c r="F938" s="31">
        <v>0.41666666666666669</v>
      </c>
      <c r="G938" s="31">
        <v>0.91666666666666663</v>
      </c>
    </row>
    <row r="939" spans="2:7">
      <c r="B939" s="2">
        <v>45864</v>
      </c>
      <c r="C939" s="33">
        <v>1</v>
      </c>
      <c r="D939" s="33">
        <v>0</v>
      </c>
      <c r="E939" s="33">
        <v>0</v>
      </c>
      <c r="F939" s="31">
        <v>0.41666666666666669</v>
      </c>
      <c r="G939" s="31">
        <v>0.91666666666666663</v>
      </c>
    </row>
    <row r="940" spans="2:7">
      <c r="B940" s="2">
        <v>45865</v>
      </c>
      <c r="C940" s="33">
        <v>1</v>
      </c>
      <c r="D940" s="33">
        <v>0</v>
      </c>
      <c r="E940" s="33">
        <v>0</v>
      </c>
      <c r="F940" s="31">
        <v>0.45833333333333331</v>
      </c>
      <c r="G940" s="31">
        <v>0.875</v>
      </c>
    </row>
    <row r="941" spans="2:7">
      <c r="B941" s="2">
        <v>45866</v>
      </c>
      <c r="C941" s="33">
        <v>1</v>
      </c>
      <c r="D941" s="33">
        <v>0</v>
      </c>
      <c r="E941" s="33">
        <v>0</v>
      </c>
      <c r="F941" s="31">
        <v>0.41666666666666669</v>
      </c>
      <c r="G941" s="31">
        <v>0.91666666666666663</v>
      </c>
    </row>
    <row r="942" spans="2:7">
      <c r="B942" s="2">
        <v>45867</v>
      </c>
      <c r="C942" s="33">
        <v>1</v>
      </c>
      <c r="D942" s="33">
        <v>0</v>
      </c>
      <c r="E942" s="33">
        <v>0</v>
      </c>
      <c r="F942" s="31">
        <v>0.41666666666666669</v>
      </c>
      <c r="G942" s="31">
        <v>0.91666666666666663</v>
      </c>
    </row>
    <row r="943" spans="2:7">
      <c r="B943" s="2">
        <v>45868</v>
      </c>
      <c r="C943" s="33">
        <v>1</v>
      </c>
      <c r="D943" s="33">
        <v>0</v>
      </c>
      <c r="E943" s="33">
        <v>0</v>
      </c>
      <c r="F943" s="31">
        <v>0.41666666666666669</v>
      </c>
      <c r="G943" s="31">
        <v>0.91666666666666663</v>
      </c>
    </row>
    <row r="944" spans="2:7">
      <c r="B944" s="2">
        <v>45869</v>
      </c>
      <c r="C944" s="33">
        <v>1</v>
      </c>
      <c r="D944" s="33">
        <v>0</v>
      </c>
      <c r="E944" s="33">
        <v>0</v>
      </c>
      <c r="F944" s="31">
        <v>0.41666666666666669</v>
      </c>
      <c r="G944" s="31">
        <v>0.91666666666666663</v>
      </c>
    </row>
    <row r="945" spans="2:7">
      <c r="B945" s="2">
        <v>45870</v>
      </c>
      <c r="C945" s="33">
        <v>1</v>
      </c>
      <c r="D945" s="33">
        <v>0</v>
      </c>
      <c r="E945" s="33">
        <v>0</v>
      </c>
      <c r="F945" s="31">
        <v>0.41666666666666669</v>
      </c>
      <c r="G945" s="31">
        <v>0.91666666666666663</v>
      </c>
    </row>
    <row r="946" spans="2:7">
      <c r="B946" s="2">
        <v>45871</v>
      </c>
      <c r="C946" s="33">
        <v>1</v>
      </c>
      <c r="D946" s="33">
        <v>0</v>
      </c>
      <c r="E946" s="33">
        <v>0</v>
      </c>
      <c r="F946" s="31">
        <v>0.41666666666666669</v>
      </c>
      <c r="G946" s="31">
        <v>0.91666666666666663</v>
      </c>
    </row>
    <row r="947" spans="2:7">
      <c r="B947" s="2">
        <v>45872</v>
      </c>
      <c r="C947" s="33">
        <v>1</v>
      </c>
      <c r="D947" s="33">
        <v>0</v>
      </c>
      <c r="E947" s="33">
        <v>0</v>
      </c>
      <c r="F947" s="31">
        <v>0.45833333333333331</v>
      </c>
      <c r="G947" s="31">
        <v>0.875</v>
      </c>
    </row>
    <row r="948" spans="2:7">
      <c r="B948" s="2">
        <v>45873</v>
      </c>
      <c r="C948" s="33">
        <v>1</v>
      </c>
      <c r="D948" s="33">
        <v>0</v>
      </c>
      <c r="E948" s="33">
        <v>0</v>
      </c>
      <c r="F948" s="31">
        <v>0.41666666666666669</v>
      </c>
      <c r="G948" s="31">
        <v>0.91666666666666663</v>
      </c>
    </row>
    <row r="949" spans="2:7">
      <c r="B949" s="2">
        <v>45874</v>
      </c>
      <c r="C949" s="33">
        <v>1</v>
      </c>
      <c r="D949" s="33">
        <v>0</v>
      </c>
      <c r="E949" s="33">
        <v>0</v>
      </c>
      <c r="F949" s="31">
        <v>0.41666666666666669</v>
      </c>
      <c r="G949" s="31">
        <v>0.91666666666666663</v>
      </c>
    </row>
    <row r="950" spans="2:7">
      <c r="B950" s="2">
        <v>45875</v>
      </c>
      <c r="C950" s="33">
        <v>1</v>
      </c>
      <c r="D950" s="33">
        <v>0</v>
      </c>
      <c r="E950" s="33">
        <v>0</v>
      </c>
      <c r="F950" s="31">
        <v>0.41666666666666669</v>
      </c>
      <c r="G950" s="31">
        <v>0.91666666666666663</v>
      </c>
    </row>
    <row r="951" spans="2:7">
      <c r="B951" s="2">
        <v>45876</v>
      </c>
      <c r="C951" s="33">
        <v>1</v>
      </c>
      <c r="D951" s="33">
        <v>0</v>
      </c>
      <c r="E951" s="33">
        <v>0</v>
      </c>
      <c r="F951" s="31">
        <v>0.41666666666666669</v>
      </c>
      <c r="G951" s="31">
        <v>0.91666666666666663</v>
      </c>
    </row>
    <row r="952" spans="2:7">
      <c r="B952" s="2">
        <v>45877</v>
      </c>
      <c r="C952" s="33">
        <v>1</v>
      </c>
      <c r="D952" s="33">
        <v>0</v>
      </c>
      <c r="E952" s="33">
        <v>0</v>
      </c>
      <c r="F952" s="31">
        <v>0.41666666666666669</v>
      </c>
      <c r="G952" s="31">
        <v>0.91666666666666663</v>
      </c>
    </row>
    <row r="953" spans="2:7">
      <c r="B953" s="2">
        <v>45878</v>
      </c>
      <c r="C953" s="33">
        <v>1</v>
      </c>
      <c r="D953" s="33">
        <v>0</v>
      </c>
      <c r="E953" s="33">
        <v>0</v>
      </c>
      <c r="F953" s="31">
        <v>0.41666666666666669</v>
      </c>
      <c r="G953" s="31">
        <v>0.91666666666666663</v>
      </c>
    </row>
    <row r="954" spans="2:7">
      <c r="B954" s="2">
        <v>45879</v>
      </c>
      <c r="C954" s="33">
        <v>1</v>
      </c>
      <c r="D954" s="33">
        <v>0</v>
      </c>
      <c r="E954" s="33">
        <v>0</v>
      </c>
      <c r="F954" s="31">
        <v>0.45833333333333331</v>
      </c>
      <c r="G954" s="31">
        <v>0.875</v>
      </c>
    </row>
    <row r="955" spans="2:7">
      <c r="B955" s="2">
        <v>45880</v>
      </c>
      <c r="C955" s="33">
        <v>1</v>
      </c>
      <c r="D955" s="33">
        <v>0</v>
      </c>
      <c r="E955" s="33">
        <v>0</v>
      </c>
      <c r="F955" s="31">
        <v>0.41666666666666669</v>
      </c>
      <c r="G955" s="31">
        <v>0.91666666666666663</v>
      </c>
    </row>
    <row r="956" spans="2:7">
      <c r="B956" s="2">
        <v>45881</v>
      </c>
      <c r="C956" s="33">
        <v>1</v>
      </c>
      <c r="D956" s="33">
        <v>0</v>
      </c>
      <c r="E956" s="33">
        <v>0</v>
      </c>
      <c r="F956" s="31">
        <v>0.41666666666666669</v>
      </c>
      <c r="G956" s="31">
        <v>0.91666666666666663</v>
      </c>
    </row>
    <row r="957" spans="2:7">
      <c r="B957" s="2">
        <v>45882</v>
      </c>
      <c r="C957" s="33">
        <v>1</v>
      </c>
      <c r="D957" s="33">
        <v>0</v>
      </c>
      <c r="E957" s="33">
        <v>0</v>
      </c>
      <c r="F957" s="31">
        <v>0.41666666666666669</v>
      </c>
      <c r="G957" s="31">
        <v>0.91666666666666663</v>
      </c>
    </row>
    <row r="958" spans="2:7">
      <c r="B958" s="2">
        <v>45883</v>
      </c>
      <c r="C958" s="33">
        <v>1</v>
      </c>
      <c r="D958" s="33">
        <v>0</v>
      </c>
      <c r="E958" s="33">
        <v>0</v>
      </c>
      <c r="F958" s="31">
        <v>0.41666666666666669</v>
      </c>
      <c r="G958" s="31">
        <v>0.91666666666666663</v>
      </c>
    </row>
    <row r="959" spans="2:7">
      <c r="B959" s="2">
        <v>45884</v>
      </c>
      <c r="C959" s="33">
        <v>0</v>
      </c>
      <c r="D959" s="33">
        <v>1</v>
      </c>
      <c r="E959" s="33">
        <v>0</v>
      </c>
    </row>
    <row r="960" spans="2:7">
      <c r="B960" s="2">
        <v>45885</v>
      </c>
      <c r="C960" s="33">
        <v>1</v>
      </c>
      <c r="D960" s="33">
        <v>0</v>
      </c>
      <c r="E960" s="33">
        <v>1</v>
      </c>
      <c r="F960" s="31">
        <v>0.41666666666666669</v>
      </c>
      <c r="G960" s="31">
        <v>0.91666666666666663</v>
      </c>
    </row>
    <row r="961" spans="2:7">
      <c r="B961" s="2">
        <v>45886</v>
      </c>
      <c r="C961" s="33">
        <v>1</v>
      </c>
      <c r="D961" s="33">
        <v>0</v>
      </c>
      <c r="E961" s="33">
        <v>0</v>
      </c>
      <c r="F961" s="31">
        <v>0.45833333333333331</v>
      </c>
      <c r="G961" s="31">
        <v>0.875</v>
      </c>
    </row>
    <row r="962" spans="2:7">
      <c r="B962" s="2">
        <v>45887</v>
      </c>
      <c r="C962" s="33">
        <v>1</v>
      </c>
      <c r="D962" s="33">
        <v>0</v>
      </c>
      <c r="E962" s="33">
        <v>0</v>
      </c>
      <c r="F962" s="31">
        <v>0.41666666666666669</v>
      </c>
      <c r="G962" s="31">
        <v>0.91666666666666663</v>
      </c>
    </row>
    <row r="963" spans="2:7">
      <c r="B963" s="2">
        <v>45888</v>
      </c>
      <c r="C963" s="33">
        <v>1</v>
      </c>
      <c r="D963" s="33">
        <v>0</v>
      </c>
      <c r="E963" s="33">
        <v>0</v>
      </c>
      <c r="F963" s="31">
        <v>0.41666666666666669</v>
      </c>
      <c r="G963" s="31">
        <v>0.91666666666666663</v>
      </c>
    </row>
    <row r="964" spans="2:7">
      <c r="B964" s="2">
        <v>45889</v>
      </c>
      <c r="C964" s="33">
        <v>1</v>
      </c>
      <c r="D964" s="33">
        <v>0</v>
      </c>
      <c r="E964" s="33">
        <v>0</v>
      </c>
      <c r="F964" s="31">
        <v>0.41666666666666669</v>
      </c>
      <c r="G964" s="31">
        <v>0.91666666666666663</v>
      </c>
    </row>
    <row r="965" spans="2:7">
      <c r="B965" s="2">
        <v>45890</v>
      </c>
      <c r="C965" s="33">
        <v>1</v>
      </c>
      <c r="D965" s="33">
        <v>0</v>
      </c>
      <c r="E965" s="33">
        <v>0</v>
      </c>
      <c r="F965" s="31">
        <v>0.41666666666666669</v>
      </c>
      <c r="G965" s="31">
        <v>0.91666666666666663</v>
      </c>
    </row>
    <row r="966" spans="2:7">
      <c r="B966" s="2">
        <v>45891</v>
      </c>
      <c r="C966" s="33">
        <v>1</v>
      </c>
      <c r="D966" s="33">
        <v>0</v>
      </c>
      <c r="E966" s="33">
        <v>0</v>
      </c>
      <c r="F966" s="31">
        <v>0.41666666666666669</v>
      </c>
      <c r="G966" s="31">
        <v>0.91666666666666663</v>
      </c>
    </row>
    <row r="967" spans="2:7">
      <c r="B967" s="2">
        <v>45892</v>
      </c>
      <c r="C967" s="33">
        <v>1</v>
      </c>
      <c r="D967" s="33">
        <v>0</v>
      </c>
      <c r="E967" s="33">
        <v>0</v>
      </c>
      <c r="F967" s="31">
        <v>0.41666666666666669</v>
      </c>
      <c r="G967" s="31">
        <v>0.91666666666666663</v>
      </c>
    </row>
    <row r="968" spans="2:7">
      <c r="B968" s="2">
        <v>45893</v>
      </c>
      <c r="C968" s="33">
        <v>1</v>
      </c>
      <c r="D968" s="33">
        <v>0</v>
      </c>
      <c r="E968" s="33">
        <v>0</v>
      </c>
      <c r="F968" s="31">
        <v>0.45833333333333331</v>
      </c>
      <c r="G968" s="31">
        <v>0.875</v>
      </c>
    </row>
    <row r="969" spans="2:7">
      <c r="B969" s="2">
        <v>45894</v>
      </c>
      <c r="C969" s="33">
        <v>1</v>
      </c>
      <c r="D969" s="33">
        <v>0</v>
      </c>
      <c r="E969" s="33">
        <v>0</v>
      </c>
      <c r="F969" s="31">
        <v>0.41666666666666669</v>
      </c>
      <c r="G969" s="31">
        <v>0.91666666666666663</v>
      </c>
    </row>
    <row r="970" spans="2:7">
      <c r="B970" s="2">
        <v>45895</v>
      </c>
      <c r="C970" s="33">
        <v>1</v>
      </c>
      <c r="D970" s="33">
        <v>0</v>
      </c>
      <c r="E970" s="33">
        <v>0</v>
      </c>
      <c r="F970" s="31">
        <v>0.41666666666666669</v>
      </c>
      <c r="G970" s="31">
        <v>0.91666666666666663</v>
      </c>
    </row>
    <row r="971" spans="2:7">
      <c r="B971" s="2">
        <v>45896</v>
      </c>
      <c r="C971" s="33">
        <v>1</v>
      </c>
      <c r="D971" s="33">
        <v>0</v>
      </c>
      <c r="E971" s="33">
        <v>0</v>
      </c>
      <c r="F971" s="31">
        <v>0.41666666666666669</v>
      </c>
      <c r="G971" s="31">
        <v>0.91666666666666663</v>
      </c>
    </row>
    <row r="972" spans="2:7">
      <c r="B972" s="2">
        <v>45897</v>
      </c>
      <c r="C972" s="33">
        <v>1</v>
      </c>
      <c r="D972" s="33">
        <v>0</v>
      </c>
      <c r="E972" s="33">
        <v>0</v>
      </c>
      <c r="F972" s="31">
        <v>0.41666666666666669</v>
      </c>
      <c r="G972" s="31">
        <v>0.91666666666666663</v>
      </c>
    </row>
    <row r="973" spans="2:7">
      <c r="B973" s="2">
        <v>45898</v>
      </c>
      <c r="C973" s="33">
        <v>1</v>
      </c>
      <c r="D973" s="33">
        <v>0</v>
      </c>
      <c r="E973" s="33">
        <v>0</v>
      </c>
      <c r="F973" s="31">
        <v>0.41666666666666669</v>
      </c>
      <c r="G973" s="31">
        <v>0.91666666666666663</v>
      </c>
    </row>
    <row r="974" spans="2:7">
      <c r="B974" s="2">
        <v>45899</v>
      </c>
      <c r="C974" s="33">
        <v>1</v>
      </c>
      <c r="D974" s="33">
        <v>0</v>
      </c>
      <c r="E974" s="33">
        <v>0</v>
      </c>
      <c r="F974" s="31">
        <v>0.41666666666666669</v>
      </c>
      <c r="G974" s="31">
        <v>0.91666666666666663</v>
      </c>
    </row>
    <row r="975" spans="2:7">
      <c r="B975" s="2">
        <v>45900</v>
      </c>
      <c r="C975" s="33">
        <v>1</v>
      </c>
      <c r="D975" s="33">
        <v>0</v>
      </c>
      <c r="E975" s="33">
        <v>0</v>
      </c>
      <c r="F975" s="31">
        <v>0.45833333333333331</v>
      </c>
      <c r="G975" s="31">
        <v>0.875</v>
      </c>
    </row>
    <row r="976" spans="2:7">
      <c r="B976" s="2">
        <v>45901</v>
      </c>
      <c r="C976" s="33">
        <v>1</v>
      </c>
      <c r="D976" s="33">
        <v>0</v>
      </c>
      <c r="E976" s="33">
        <v>0</v>
      </c>
      <c r="F976" s="31">
        <v>0.41666666666666669</v>
      </c>
      <c r="G976" s="31">
        <v>0.91666666666666663</v>
      </c>
    </row>
    <row r="977" spans="2:7">
      <c r="B977" s="2">
        <v>45902</v>
      </c>
      <c r="C977" s="33">
        <v>1</v>
      </c>
      <c r="D977" s="33">
        <v>0</v>
      </c>
      <c r="E977" s="33">
        <v>0</v>
      </c>
      <c r="F977" s="31">
        <v>0.41666666666666669</v>
      </c>
      <c r="G977" s="31">
        <v>0.91666666666666663</v>
      </c>
    </row>
    <row r="978" spans="2:7">
      <c r="B978" s="2">
        <v>45903</v>
      </c>
      <c r="C978" s="33">
        <v>1</v>
      </c>
      <c r="D978" s="33">
        <v>0</v>
      </c>
      <c r="E978" s="33">
        <v>0</v>
      </c>
      <c r="F978" s="31">
        <v>0.41666666666666669</v>
      </c>
      <c r="G978" s="31">
        <v>0.91666666666666663</v>
      </c>
    </row>
    <row r="979" spans="2:7">
      <c r="B979" s="2">
        <v>45904</v>
      </c>
      <c r="C979" s="33">
        <v>1</v>
      </c>
      <c r="D979" s="33">
        <v>0</v>
      </c>
      <c r="E979" s="33">
        <v>0</v>
      </c>
      <c r="F979" s="31">
        <v>0.41666666666666669</v>
      </c>
      <c r="G979" s="31">
        <v>0.91666666666666663</v>
      </c>
    </row>
    <row r="980" spans="2:7">
      <c r="B980" s="2">
        <v>45905</v>
      </c>
      <c r="C980" s="33">
        <v>1</v>
      </c>
      <c r="D980" s="33">
        <v>0</v>
      </c>
      <c r="E980" s="33">
        <v>0</v>
      </c>
      <c r="F980" s="31">
        <v>0.41666666666666669</v>
      </c>
      <c r="G980" s="31">
        <v>0.91666666666666663</v>
      </c>
    </row>
    <row r="981" spans="2:7">
      <c r="B981" s="2">
        <v>45906</v>
      </c>
      <c r="C981" s="33">
        <v>1</v>
      </c>
      <c r="D981" s="33">
        <v>0</v>
      </c>
      <c r="E981" s="33">
        <v>0</v>
      </c>
      <c r="F981" s="31">
        <v>0.41666666666666669</v>
      </c>
      <c r="G981" s="31">
        <v>0.91666666666666663</v>
      </c>
    </row>
    <row r="982" spans="2:7">
      <c r="B982" s="2">
        <v>45907</v>
      </c>
      <c r="C982" s="33">
        <v>1</v>
      </c>
      <c r="D982" s="33">
        <v>0</v>
      </c>
      <c r="E982" s="33">
        <v>0</v>
      </c>
      <c r="F982" s="31">
        <v>0.45833333333333331</v>
      </c>
      <c r="G982" s="31">
        <v>0.875</v>
      </c>
    </row>
    <row r="983" spans="2:7">
      <c r="B983" s="2">
        <v>45908</v>
      </c>
      <c r="C983" s="33">
        <v>1</v>
      </c>
      <c r="D983" s="33">
        <v>0</v>
      </c>
      <c r="E983" s="33">
        <v>0</v>
      </c>
      <c r="F983" s="31">
        <v>0.41666666666666669</v>
      </c>
      <c r="G983" s="31">
        <v>0.91666666666666663</v>
      </c>
    </row>
    <row r="984" spans="2:7">
      <c r="B984" s="2">
        <v>45909</v>
      </c>
      <c r="C984" s="33">
        <v>1</v>
      </c>
      <c r="D984" s="33">
        <v>0</v>
      </c>
      <c r="E984" s="33">
        <v>0</v>
      </c>
      <c r="F984" s="31">
        <v>0.41666666666666669</v>
      </c>
      <c r="G984" s="31">
        <v>0.91666666666666663</v>
      </c>
    </row>
    <row r="985" spans="2:7">
      <c r="B985" s="2">
        <v>45910</v>
      </c>
      <c r="C985" s="33">
        <v>1</v>
      </c>
      <c r="D985" s="33">
        <v>0</v>
      </c>
      <c r="E985" s="33">
        <v>0</v>
      </c>
      <c r="F985" s="31">
        <v>0.41666666666666669</v>
      </c>
      <c r="G985" s="31">
        <v>0.91666666666666663</v>
      </c>
    </row>
    <row r="986" spans="2:7">
      <c r="B986" s="2">
        <v>45911</v>
      </c>
      <c r="C986" s="33">
        <v>1</v>
      </c>
      <c r="D986" s="33">
        <v>0</v>
      </c>
      <c r="E986" s="33">
        <v>0</v>
      </c>
      <c r="F986" s="31">
        <v>0.41666666666666669</v>
      </c>
      <c r="G986" s="31">
        <v>0.91666666666666663</v>
      </c>
    </row>
    <row r="987" spans="2:7">
      <c r="B987" s="2">
        <v>45912</v>
      </c>
      <c r="C987" s="33">
        <v>1</v>
      </c>
      <c r="D987" s="33">
        <v>0</v>
      </c>
      <c r="E987" s="33">
        <v>0</v>
      </c>
      <c r="F987" s="31">
        <v>0.41666666666666669</v>
      </c>
      <c r="G987" s="31">
        <v>0.91666666666666663</v>
      </c>
    </row>
    <row r="988" spans="2:7">
      <c r="B988" s="2">
        <v>45913</v>
      </c>
      <c r="C988" s="33">
        <v>1</v>
      </c>
      <c r="D988" s="33">
        <v>0</v>
      </c>
      <c r="E988" s="33">
        <v>0</v>
      </c>
      <c r="F988" s="31">
        <v>0.41666666666666669</v>
      </c>
      <c r="G988" s="31">
        <v>0.91666666666666663</v>
      </c>
    </row>
    <row r="989" spans="2:7">
      <c r="B989" s="2">
        <v>45914</v>
      </c>
      <c r="C989" s="33">
        <v>1</v>
      </c>
      <c r="D989" s="33">
        <v>0</v>
      </c>
      <c r="E989" s="33">
        <v>0</v>
      </c>
      <c r="F989" s="31">
        <v>0.45833333333333331</v>
      </c>
      <c r="G989" s="31">
        <v>0.875</v>
      </c>
    </row>
    <row r="990" spans="2:7">
      <c r="B990" s="2">
        <v>45915</v>
      </c>
      <c r="C990" s="33">
        <v>1</v>
      </c>
      <c r="D990" s="33">
        <v>0</v>
      </c>
      <c r="E990" s="33">
        <v>0</v>
      </c>
      <c r="F990" s="31">
        <v>0.41666666666666669</v>
      </c>
      <c r="G990" s="31">
        <v>0.91666666666666663</v>
      </c>
    </row>
    <row r="991" spans="2:7">
      <c r="B991" s="2">
        <v>45916</v>
      </c>
      <c r="C991" s="33">
        <v>1</v>
      </c>
      <c r="D991" s="33">
        <v>0</v>
      </c>
      <c r="E991" s="33">
        <v>0</v>
      </c>
      <c r="F991" s="31">
        <v>0.41666666666666669</v>
      </c>
      <c r="G991" s="31">
        <v>0.91666666666666663</v>
      </c>
    </row>
    <row r="992" spans="2:7">
      <c r="B992" s="2">
        <v>45917</v>
      </c>
      <c r="C992" s="33">
        <v>1</v>
      </c>
      <c r="D992" s="33">
        <v>0</v>
      </c>
      <c r="E992" s="33">
        <v>0</v>
      </c>
      <c r="F992" s="31">
        <v>0.41666666666666669</v>
      </c>
      <c r="G992" s="31">
        <v>0.91666666666666663</v>
      </c>
    </row>
    <row r="993" spans="2:7">
      <c r="B993" s="2">
        <v>45918</v>
      </c>
      <c r="C993" s="33">
        <v>1</v>
      </c>
      <c r="D993" s="33">
        <v>0</v>
      </c>
      <c r="E993" s="33">
        <v>0</v>
      </c>
      <c r="F993" s="31">
        <v>0.41666666666666669</v>
      </c>
      <c r="G993" s="31">
        <v>0.91666666666666663</v>
      </c>
    </row>
    <row r="994" spans="2:7">
      <c r="B994" s="2">
        <v>45919</v>
      </c>
      <c r="C994" s="33">
        <v>1</v>
      </c>
      <c r="D994" s="33">
        <v>0</v>
      </c>
      <c r="E994" s="33">
        <v>0</v>
      </c>
      <c r="F994" s="31">
        <v>0.41666666666666669</v>
      </c>
      <c r="G994" s="31">
        <v>0.91666666666666663</v>
      </c>
    </row>
    <row r="995" spans="2:7">
      <c r="B995" s="2">
        <v>45920</v>
      </c>
      <c r="C995" s="33">
        <v>1</v>
      </c>
      <c r="D995" s="33">
        <v>0</v>
      </c>
      <c r="E995" s="33">
        <v>0</v>
      </c>
      <c r="F995" s="31">
        <v>0.41666666666666669</v>
      </c>
      <c r="G995" s="31">
        <v>0.91666666666666663</v>
      </c>
    </row>
    <row r="996" spans="2:7">
      <c r="B996" s="2">
        <v>45921</v>
      </c>
      <c r="C996" s="33">
        <v>1</v>
      </c>
      <c r="D996" s="33">
        <v>0</v>
      </c>
      <c r="E996" s="33">
        <v>0</v>
      </c>
      <c r="F996" s="31">
        <v>0.45833333333333331</v>
      </c>
      <c r="G996" s="31">
        <v>0.875</v>
      </c>
    </row>
    <row r="997" spans="2:7">
      <c r="B997" s="2">
        <v>45922</v>
      </c>
      <c r="C997" s="33">
        <v>1</v>
      </c>
      <c r="D997" s="33">
        <v>0</v>
      </c>
      <c r="E997" s="33">
        <v>0</v>
      </c>
      <c r="F997" s="31">
        <v>0.41666666666666669</v>
      </c>
      <c r="G997" s="31">
        <v>0.91666666666666663</v>
      </c>
    </row>
    <row r="998" spans="2:7">
      <c r="B998" s="2">
        <v>45923</v>
      </c>
      <c r="C998" s="33">
        <v>1</v>
      </c>
      <c r="D998" s="33">
        <v>0</v>
      </c>
      <c r="E998" s="33">
        <v>0</v>
      </c>
      <c r="F998" s="31">
        <v>0.41666666666666669</v>
      </c>
      <c r="G998" s="31">
        <v>0.91666666666666663</v>
      </c>
    </row>
    <row r="999" spans="2:7">
      <c r="B999" s="2">
        <v>45924</v>
      </c>
      <c r="C999" s="33">
        <v>1</v>
      </c>
      <c r="D999" s="33">
        <v>0</v>
      </c>
      <c r="E999" s="33">
        <v>0</v>
      </c>
      <c r="F999" s="31">
        <v>0.41666666666666669</v>
      </c>
      <c r="G999" s="31">
        <v>0.91666666666666663</v>
      </c>
    </row>
    <row r="1000" spans="2:7">
      <c r="B1000" s="2">
        <v>45925</v>
      </c>
      <c r="C1000" s="33">
        <v>1</v>
      </c>
      <c r="D1000" s="33">
        <v>0</v>
      </c>
      <c r="E1000" s="33">
        <v>0</v>
      </c>
      <c r="F1000" s="31">
        <v>0.41666666666666669</v>
      </c>
      <c r="G1000" s="31">
        <v>0.91666666666666663</v>
      </c>
    </row>
    <row r="1001" spans="2:7">
      <c r="B1001" s="2">
        <v>45926</v>
      </c>
      <c r="C1001" s="33">
        <v>1</v>
      </c>
      <c r="D1001" s="33">
        <v>0</v>
      </c>
      <c r="E1001" s="33">
        <v>0</v>
      </c>
      <c r="F1001" s="31">
        <v>0.41666666666666669</v>
      </c>
      <c r="G1001" s="31">
        <v>0.91666666666666663</v>
      </c>
    </row>
    <row r="1002" spans="2:7">
      <c r="B1002" s="2">
        <v>45927</v>
      </c>
      <c r="C1002" s="33">
        <v>1</v>
      </c>
      <c r="D1002" s="33">
        <v>0</v>
      </c>
      <c r="E1002" s="33">
        <v>0</v>
      </c>
      <c r="F1002" s="31">
        <v>0.41666666666666669</v>
      </c>
      <c r="G1002" s="31">
        <v>0.91666666666666663</v>
      </c>
    </row>
    <row r="1003" spans="2:7">
      <c r="B1003" s="2">
        <v>45928</v>
      </c>
      <c r="C1003" s="33">
        <v>1</v>
      </c>
      <c r="D1003" s="33">
        <v>0</v>
      </c>
      <c r="E1003" s="33">
        <v>0</v>
      </c>
      <c r="F1003" s="31">
        <v>0.45833333333333331</v>
      </c>
      <c r="G1003" s="31">
        <v>0.875</v>
      </c>
    </row>
    <row r="1004" spans="2:7">
      <c r="B1004" s="2">
        <v>45929</v>
      </c>
      <c r="C1004" s="33">
        <v>1</v>
      </c>
      <c r="D1004" s="33">
        <v>0</v>
      </c>
      <c r="E1004" s="33">
        <v>0</v>
      </c>
      <c r="F1004" s="31">
        <v>0.41666666666666669</v>
      </c>
      <c r="G1004" s="31">
        <v>0.91666666666666663</v>
      </c>
    </row>
    <row r="1005" spans="2:7">
      <c r="B1005" s="2">
        <v>45930</v>
      </c>
      <c r="C1005" s="33">
        <v>1</v>
      </c>
      <c r="D1005" s="33">
        <v>0</v>
      </c>
      <c r="E1005" s="33">
        <v>0</v>
      </c>
      <c r="F1005" s="31">
        <v>0.41666666666666669</v>
      </c>
      <c r="G1005" s="31">
        <v>0.91666666666666663</v>
      </c>
    </row>
    <row r="1006" spans="2:7">
      <c r="B1006" s="2">
        <v>45931</v>
      </c>
      <c r="C1006" s="33">
        <v>1</v>
      </c>
      <c r="D1006" s="33">
        <v>0</v>
      </c>
      <c r="E1006" s="33">
        <v>0</v>
      </c>
      <c r="F1006" s="31">
        <v>0.41666666666666669</v>
      </c>
      <c r="G1006" s="31">
        <v>0.91666666666666663</v>
      </c>
    </row>
    <row r="1007" spans="2:7">
      <c r="B1007" s="2">
        <v>45932</v>
      </c>
      <c r="C1007" s="33">
        <v>1</v>
      </c>
      <c r="D1007" s="33">
        <v>0</v>
      </c>
      <c r="E1007" s="33">
        <v>0</v>
      </c>
      <c r="F1007" s="31">
        <v>0.41666666666666669</v>
      </c>
      <c r="G1007" s="31">
        <v>0.91666666666666663</v>
      </c>
    </row>
    <row r="1008" spans="2:7">
      <c r="B1008" s="2">
        <v>45933</v>
      </c>
      <c r="C1008" s="33">
        <v>1</v>
      </c>
      <c r="D1008" s="33">
        <v>0</v>
      </c>
      <c r="E1008" s="33">
        <v>0</v>
      </c>
      <c r="F1008" s="31">
        <v>0.41666666666666669</v>
      </c>
      <c r="G1008" s="31">
        <v>0.91666666666666663</v>
      </c>
    </row>
    <row r="1009" spans="2:7">
      <c r="B1009" s="2">
        <v>45934</v>
      </c>
      <c r="C1009" s="33">
        <v>1</v>
      </c>
      <c r="D1009" s="33">
        <v>0</v>
      </c>
      <c r="E1009" s="33">
        <v>0</v>
      </c>
      <c r="F1009" s="31">
        <v>0.41666666666666669</v>
      </c>
      <c r="G1009" s="31">
        <v>0.91666666666666663</v>
      </c>
    </row>
    <row r="1010" spans="2:7">
      <c r="B1010" s="2">
        <v>45935</v>
      </c>
      <c r="C1010" s="33">
        <v>1</v>
      </c>
      <c r="D1010" s="33">
        <v>0</v>
      </c>
      <c r="E1010" s="33">
        <v>0</v>
      </c>
      <c r="F1010" s="31">
        <v>0.45833333333333331</v>
      </c>
      <c r="G1010" s="31">
        <v>0.875</v>
      </c>
    </row>
    <row r="1011" spans="2:7">
      <c r="B1011" s="2">
        <v>45936</v>
      </c>
      <c r="C1011" s="33">
        <v>1</v>
      </c>
      <c r="D1011" s="33">
        <v>0</v>
      </c>
      <c r="E1011" s="33">
        <v>0</v>
      </c>
      <c r="F1011" s="31">
        <v>0.41666666666666669</v>
      </c>
      <c r="G1011" s="31">
        <v>0.91666666666666663</v>
      </c>
    </row>
    <row r="1012" spans="2:7">
      <c r="B1012" s="2">
        <v>45937</v>
      </c>
      <c r="C1012" s="33">
        <v>1</v>
      </c>
      <c r="D1012" s="33">
        <v>0</v>
      </c>
      <c r="E1012" s="33">
        <v>0</v>
      </c>
      <c r="F1012" s="31">
        <v>0.41666666666666669</v>
      </c>
      <c r="G1012" s="31">
        <v>0.91666666666666663</v>
      </c>
    </row>
    <row r="1013" spans="2:7">
      <c r="B1013" s="2">
        <v>45938</v>
      </c>
      <c r="C1013" s="33">
        <v>1</v>
      </c>
      <c r="D1013" s="33">
        <v>0</v>
      </c>
      <c r="E1013" s="33">
        <v>0</v>
      </c>
      <c r="F1013" s="31">
        <v>0.41666666666666669</v>
      </c>
      <c r="G1013" s="31">
        <v>0.91666666666666663</v>
      </c>
    </row>
    <row r="1014" spans="2:7">
      <c r="B1014" s="2">
        <v>45939</v>
      </c>
      <c r="C1014" s="33">
        <v>0</v>
      </c>
      <c r="D1014" s="33">
        <v>1</v>
      </c>
      <c r="E1014" s="33">
        <v>0</v>
      </c>
    </row>
    <row r="1015" spans="2:7">
      <c r="B1015" s="2">
        <v>45940</v>
      </c>
      <c r="C1015" s="33">
        <v>1</v>
      </c>
      <c r="D1015" s="33">
        <v>0</v>
      </c>
      <c r="E1015" s="33">
        <v>1</v>
      </c>
      <c r="F1015" s="31">
        <v>0.41666666666666669</v>
      </c>
      <c r="G1015" s="31">
        <v>0.91666666666666663</v>
      </c>
    </row>
    <row r="1016" spans="2:7">
      <c r="B1016" s="2">
        <v>45941</v>
      </c>
      <c r="C1016" s="33">
        <v>1</v>
      </c>
      <c r="D1016" s="33">
        <v>0</v>
      </c>
      <c r="E1016" s="33">
        <v>0</v>
      </c>
      <c r="F1016" s="31">
        <v>0.41666666666666669</v>
      </c>
      <c r="G1016" s="31">
        <v>0.91666666666666663</v>
      </c>
    </row>
    <row r="1017" spans="2:7">
      <c r="B1017" s="2">
        <v>45942</v>
      </c>
      <c r="C1017" s="33">
        <v>1</v>
      </c>
      <c r="D1017" s="33">
        <v>0</v>
      </c>
      <c r="E1017" s="33">
        <v>0</v>
      </c>
      <c r="F1017" s="31">
        <v>0.45833333333333331</v>
      </c>
      <c r="G1017" s="31">
        <v>0.875</v>
      </c>
    </row>
    <row r="1018" spans="2:7">
      <c r="B1018" s="2">
        <v>45943</v>
      </c>
      <c r="C1018" s="33">
        <v>1</v>
      </c>
      <c r="D1018" s="33">
        <v>0</v>
      </c>
      <c r="E1018" s="33">
        <v>0</v>
      </c>
      <c r="F1018" s="31">
        <v>0.41666666666666669</v>
      </c>
      <c r="G1018" s="31">
        <v>0.91666666666666663</v>
      </c>
    </row>
    <row r="1019" spans="2:7">
      <c r="B1019" s="2">
        <v>45944</v>
      </c>
      <c r="C1019" s="33">
        <v>1</v>
      </c>
      <c r="D1019" s="33">
        <v>0</v>
      </c>
      <c r="E1019" s="33">
        <v>0</v>
      </c>
      <c r="F1019" s="31">
        <v>0.41666666666666669</v>
      </c>
      <c r="G1019" s="31">
        <v>0.91666666666666663</v>
      </c>
    </row>
    <row r="1020" spans="2:7">
      <c r="B1020" s="2">
        <v>45945</v>
      </c>
      <c r="C1020" s="33">
        <v>1</v>
      </c>
      <c r="D1020" s="33">
        <v>0</v>
      </c>
      <c r="E1020" s="33">
        <v>0</v>
      </c>
      <c r="F1020" s="31">
        <v>0.41666666666666669</v>
      </c>
      <c r="G1020" s="31">
        <v>0.91666666666666663</v>
      </c>
    </row>
    <row r="1021" spans="2:7">
      <c r="B1021" s="2">
        <v>45946</v>
      </c>
      <c r="C1021" s="33">
        <v>1</v>
      </c>
      <c r="D1021" s="33">
        <v>0</v>
      </c>
      <c r="E1021" s="33">
        <v>0</v>
      </c>
      <c r="F1021" s="31">
        <v>0.41666666666666669</v>
      </c>
      <c r="G1021" s="31">
        <v>0.91666666666666663</v>
      </c>
    </row>
    <row r="1022" spans="2:7">
      <c r="B1022" s="2">
        <v>45947</v>
      </c>
      <c r="C1022" s="33">
        <v>1</v>
      </c>
      <c r="D1022" s="33">
        <v>0</v>
      </c>
      <c r="E1022" s="33">
        <v>0</v>
      </c>
      <c r="F1022" s="31">
        <v>0.41666666666666669</v>
      </c>
      <c r="G1022" s="31">
        <v>0.91666666666666663</v>
      </c>
    </row>
    <row r="1023" spans="2:7">
      <c r="B1023" s="2">
        <v>45948</v>
      </c>
      <c r="C1023" s="33">
        <v>1</v>
      </c>
      <c r="D1023" s="33">
        <v>0</v>
      </c>
      <c r="E1023" s="33">
        <v>0</v>
      </c>
      <c r="F1023" s="31">
        <v>0.41666666666666669</v>
      </c>
      <c r="G1023" s="31">
        <v>0.91666666666666663</v>
      </c>
    </row>
    <row r="1024" spans="2:7">
      <c r="B1024" s="2">
        <v>45949</v>
      </c>
      <c r="C1024" s="33">
        <v>1</v>
      </c>
      <c r="D1024" s="33">
        <v>0</v>
      </c>
      <c r="E1024" s="33">
        <v>0</v>
      </c>
      <c r="F1024" s="31">
        <v>0.45833333333333331</v>
      </c>
      <c r="G1024" s="31">
        <v>0.875</v>
      </c>
    </row>
    <row r="1025" spans="2:7">
      <c r="B1025" s="2">
        <v>45950</v>
      </c>
      <c r="C1025" s="33">
        <v>1</v>
      </c>
      <c r="D1025" s="33">
        <v>0</v>
      </c>
      <c r="E1025" s="33">
        <v>0</v>
      </c>
      <c r="F1025" s="31">
        <v>0.41666666666666669</v>
      </c>
      <c r="G1025" s="31">
        <v>0.91666666666666663</v>
      </c>
    </row>
    <row r="1026" spans="2:7">
      <c r="B1026" s="2">
        <v>45951</v>
      </c>
      <c r="C1026" s="33">
        <v>1</v>
      </c>
      <c r="D1026" s="33">
        <v>0</v>
      </c>
      <c r="E1026" s="33">
        <v>0</v>
      </c>
      <c r="F1026" s="31">
        <v>0.41666666666666669</v>
      </c>
      <c r="G1026" s="31">
        <v>0.91666666666666663</v>
      </c>
    </row>
    <row r="1027" spans="2:7">
      <c r="B1027" s="2">
        <v>45952</v>
      </c>
      <c r="C1027" s="33">
        <v>1</v>
      </c>
      <c r="D1027" s="33">
        <v>0</v>
      </c>
      <c r="E1027" s="33">
        <v>0</v>
      </c>
      <c r="F1027" s="31">
        <v>0.41666666666666669</v>
      </c>
      <c r="G1027" s="31">
        <v>0.91666666666666663</v>
      </c>
    </row>
    <row r="1028" spans="2:7">
      <c r="B1028" s="2">
        <v>45953</v>
      </c>
      <c r="C1028" s="33">
        <v>1</v>
      </c>
      <c r="D1028" s="33">
        <v>0</v>
      </c>
      <c r="E1028" s="33">
        <v>0</v>
      </c>
      <c r="F1028" s="31">
        <v>0.41666666666666669</v>
      </c>
      <c r="G1028" s="31">
        <v>0.91666666666666663</v>
      </c>
    </row>
    <row r="1029" spans="2:7">
      <c r="B1029" s="2">
        <v>45954</v>
      </c>
      <c r="C1029" s="33">
        <v>1</v>
      </c>
      <c r="D1029" s="33">
        <v>0</v>
      </c>
      <c r="E1029" s="33">
        <v>0</v>
      </c>
      <c r="F1029" s="31">
        <v>0.41666666666666669</v>
      </c>
      <c r="G1029" s="31">
        <v>0.91666666666666663</v>
      </c>
    </row>
    <row r="1030" spans="2:7">
      <c r="B1030" s="2">
        <v>45955</v>
      </c>
      <c r="C1030" s="33">
        <v>1</v>
      </c>
      <c r="D1030" s="33">
        <v>0</v>
      </c>
      <c r="E1030" s="33">
        <v>0</v>
      </c>
      <c r="F1030" s="31">
        <v>0.41666666666666669</v>
      </c>
      <c r="G1030" s="31">
        <v>0.91666666666666663</v>
      </c>
    </row>
    <row r="1031" spans="2:7">
      <c r="B1031" s="2">
        <v>45956</v>
      </c>
      <c r="C1031" s="33">
        <v>1</v>
      </c>
      <c r="D1031" s="33">
        <v>0</v>
      </c>
      <c r="E1031" s="33">
        <v>0</v>
      </c>
      <c r="F1031" s="31">
        <v>0.45833333333333331</v>
      </c>
      <c r="G1031" s="31">
        <v>0.875</v>
      </c>
    </row>
    <row r="1032" spans="2:7">
      <c r="B1032" s="2">
        <v>45957</v>
      </c>
      <c r="C1032" s="33">
        <v>1</v>
      </c>
      <c r="D1032" s="33">
        <v>0</v>
      </c>
      <c r="E1032" s="33">
        <v>0</v>
      </c>
      <c r="F1032" s="31">
        <v>0.41666666666666669</v>
      </c>
      <c r="G1032" s="31">
        <v>0.91666666666666663</v>
      </c>
    </row>
    <row r="1033" spans="2:7">
      <c r="B1033" s="2">
        <v>45958</v>
      </c>
      <c r="C1033" s="33">
        <v>1</v>
      </c>
      <c r="D1033" s="33">
        <v>0</v>
      </c>
      <c r="E1033" s="33">
        <v>0</v>
      </c>
      <c r="F1033" s="31">
        <v>0.41666666666666669</v>
      </c>
      <c r="G1033" s="31">
        <v>0.91666666666666663</v>
      </c>
    </row>
    <row r="1034" spans="2:7">
      <c r="B1034" s="2">
        <v>45959</v>
      </c>
      <c r="C1034" s="33">
        <v>1</v>
      </c>
      <c r="D1034" s="33">
        <v>0</v>
      </c>
      <c r="E1034" s="33">
        <v>0</v>
      </c>
      <c r="F1034" s="31">
        <v>0.41666666666666669</v>
      </c>
      <c r="G1034" s="31">
        <v>0.91666666666666663</v>
      </c>
    </row>
    <row r="1035" spans="2:7">
      <c r="B1035" s="2">
        <v>45960</v>
      </c>
      <c r="C1035" s="33">
        <v>1</v>
      </c>
      <c r="D1035" s="33">
        <v>0</v>
      </c>
      <c r="E1035" s="33">
        <v>0</v>
      </c>
      <c r="F1035" s="31">
        <v>0.41666666666666669</v>
      </c>
      <c r="G1035" s="31">
        <v>0.91666666666666663</v>
      </c>
    </row>
    <row r="1036" spans="2:7">
      <c r="B1036" s="2">
        <v>45961</v>
      </c>
      <c r="C1036" s="33">
        <v>1</v>
      </c>
      <c r="D1036" s="33">
        <v>0</v>
      </c>
      <c r="E1036" s="33">
        <v>0</v>
      </c>
      <c r="F1036" s="31">
        <v>0.41666666666666669</v>
      </c>
      <c r="G1036" s="31">
        <v>0.91666666666666663</v>
      </c>
    </row>
    <row r="1037" spans="2:7">
      <c r="B1037" s="2">
        <v>45962</v>
      </c>
      <c r="C1037" s="33">
        <v>1</v>
      </c>
      <c r="D1037" s="33">
        <v>0</v>
      </c>
      <c r="E1037" s="33">
        <v>0</v>
      </c>
      <c r="F1037" s="31">
        <v>0.45833333333333331</v>
      </c>
      <c r="G1037" s="31">
        <v>0.875</v>
      </c>
    </row>
    <row r="1038" spans="2:7">
      <c r="B1038" s="2">
        <v>45963</v>
      </c>
      <c r="C1038" s="33">
        <v>1</v>
      </c>
      <c r="D1038" s="33">
        <v>0</v>
      </c>
      <c r="E1038" s="33">
        <v>0</v>
      </c>
      <c r="F1038" s="31">
        <v>0.45833333333333331</v>
      </c>
      <c r="G1038" s="31">
        <v>0.875</v>
      </c>
    </row>
    <row r="1039" spans="2:7">
      <c r="B1039" s="2">
        <v>45964</v>
      </c>
      <c r="C1039" s="33">
        <v>1</v>
      </c>
      <c r="D1039" s="33">
        <v>0</v>
      </c>
      <c r="E1039" s="33">
        <v>0</v>
      </c>
      <c r="F1039" s="31">
        <v>0.41666666666666669</v>
      </c>
      <c r="G1039" s="31">
        <v>0.91666666666666663</v>
      </c>
    </row>
    <row r="1040" spans="2:7">
      <c r="B1040" s="2">
        <v>45965</v>
      </c>
      <c r="C1040" s="33">
        <v>1</v>
      </c>
      <c r="D1040" s="33">
        <v>0</v>
      </c>
      <c r="E1040" s="33">
        <v>0</v>
      </c>
      <c r="F1040" s="31">
        <v>0.41666666666666669</v>
      </c>
      <c r="G1040" s="31">
        <v>0.91666666666666663</v>
      </c>
    </row>
    <row r="1041" spans="2:7">
      <c r="B1041" s="2">
        <v>45966</v>
      </c>
      <c r="C1041" s="33">
        <v>1</v>
      </c>
      <c r="D1041" s="33">
        <v>0</v>
      </c>
      <c r="E1041" s="33">
        <v>0</v>
      </c>
      <c r="F1041" s="31">
        <v>0.41666666666666669</v>
      </c>
      <c r="G1041" s="31">
        <v>0.91666666666666663</v>
      </c>
    </row>
    <row r="1042" spans="2:7">
      <c r="B1042" s="2">
        <v>45967</v>
      </c>
      <c r="C1042" s="33">
        <v>1</v>
      </c>
      <c r="D1042" s="33">
        <v>0</v>
      </c>
      <c r="E1042" s="33">
        <v>0</v>
      </c>
      <c r="F1042" s="31">
        <v>0.41666666666666669</v>
      </c>
      <c r="G1042" s="31">
        <v>0.91666666666666663</v>
      </c>
    </row>
    <row r="1043" spans="2:7">
      <c r="B1043" s="2">
        <v>45968</v>
      </c>
      <c r="C1043" s="33">
        <v>1</v>
      </c>
      <c r="D1043" s="33">
        <v>0</v>
      </c>
      <c r="E1043" s="33">
        <v>0</v>
      </c>
      <c r="F1043" s="31">
        <v>0.41666666666666669</v>
      </c>
      <c r="G1043" s="31">
        <v>0.91666666666666663</v>
      </c>
    </row>
    <row r="1044" spans="2:7">
      <c r="B1044" s="2">
        <v>45969</v>
      </c>
      <c r="C1044" s="33">
        <v>1</v>
      </c>
      <c r="D1044" s="33">
        <v>0</v>
      </c>
      <c r="E1044" s="33">
        <v>0</v>
      </c>
      <c r="F1044" s="31">
        <v>0.41666666666666669</v>
      </c>
      <c r="G1044" s="31">
        <v>0.91666666666666663</v>
      </c>
    </row>
    <row r="1045" spans="2:7">
      <c r="B1045" s="2">
        <v>45970</v>
      </c>
      <c r="C1045" s="33">
        <v>1</v>
      </c>
      <c r="D1045" s="33">
        <v>0</v>
      </c>
      <c r="E1045" s="33">
        <v>0</v>
      </c>
      <c r="F1045" s="31">
        <v>0.45833333333333331</v>
      </c>
      <c r="G1045" s="31">
        <v>0.875</v>
      </c>
    </row>
    <row r="1046" spans="2:7">
      <c r="B1046" s="2">
        <v>45971</v>
      </c>
      <c r="C1046" s="33">
        <v>1</v>
      </c>
      <c r="D1046" s="33">
        <v>0</v>
      </c>
      <c r="E1046" s="33">
        <v>0</v>
      </c>
      <c r="F1046" s="31">
        <v>0.41666666666666669</v>
      </c>
      <c r="G1046" s="31">
        <v>0.91666666666666663</v>
      </c>
    </row>
    <row r="1047" spans="2:7">
      <c r="B1047" s="2">
        <v>45972</v>
      </c>
      <c r="C1047" s="33">
        <v>1</v>
      </c>
      <c r="D1047" s="33">
        <v>0</v>
      </c>
      <c r="E1047" s="33">
        <v>0</v>
      </c>
      <c r="F1047" s="31">
        <v>0.41666666666666669</v>
      </c>
      <c r="G1047" s="31">
        <v>0.91666666666666663</v>
      </c>
    </row>
    <row r="1048" spans="2:7">
      <c r="B1048" s="2">
        <v>45973</v>
      </c>
      <c r="C1048" s="33">
        <v>1</v>
      </c>
      <c r="D1048" s="33">
        <v>0</v>
      </c>
      <c r="E1048" s="33">
        <v>0</v>
      </c>
      <c r="F1048" s="31">
        <v>0.41666666666666669</v>
      </c>
      <c r="G1048" s="31">
        <v>0.91666666666666663</v>
      </c>
    </row>
    <row r="1049" spans="2:7">
      <c r="B1049" s="2">
        <v>45974</v>
      </c>
      <c r="C1049" s="33">
        <v>1</v>
      </c>
      <c r="D1049" s="33">
        <v>0</v>
      </c>
      <c r="E1049" s="33">
        <v>0</v>
      </c>
      <c r="F1049" s="31">
        <v>0.41666666666666669</v>
      </c>
      <c r="G1049" s="31">
        <v>0.91666666666666663</v>
      </c>
    </row>
    <row r="1050" spans="2:7">
      <c r="B1050" s="2">
        <v>45975</v>
      </c>
      <c r="C1050" s="33">
        <v>1</v>
      </c>
      <c r="D1050" s="33">
        <v>0</v>
      </c>
      <c r="E1050" s="33">
        <v>0</v>
      </c>
      <c r="F1050" s="31">
        <v>0.41666666666666669</v>
      </c>
      <c r="G1050" s="31">
        <v>0.91666666666666663</v>
      </c>
    </row>
    <row r="1051" spans="2:7">
      <c r="B1051" s="2">
        <v>45976</v>
      </c>
      <c r="C1051" s="33">
        <v>1</v>
      </c>
      <c r="D1051" s="33">
        <v>0</v>
      </c>
      <c r="E1051" s="33">
        <v>0</v>
      </c>
      <c r="F1051" s="31">
        <v>0.41666666666666669</v>
      </c>
      <c r="G1051" s="31">
        <v>0.91666666666666663</v>
      </c>
    </row>
    <row r="1052" spans="2:7">
      <c r="B1052" s="2">
        <v>45977</v>
      </c>
      <c r="C1052" s="33">
        <v>1</v>
      </c>
      <c r="D1052" s="33">
        <v>0</v>
      </c>
      <c r="E1052" s="33">
        <v>0</v>
      </c>
      <c r="F1052" s="31">
        <v>0.45833333333333331</v>
      </c>
      <c r="G1052" s="31">
        <v>0.875</v>
      </c>
    </row>
    <row r="1053" spans="2:7">
      <c r="B1053" s="2">
        <v>45978</v>
      </c>
      <c r="C1053" s="33">
        <v>1</v>
      </c>
      <c r="D1053" s="33">
        <v>0</v>
      </c>
      <c r="E1053" s="33">
        <v>0</v>
      </c>
      <c r="F1053" s="31">
        <v>0.41666666666666669</v>
      </c>
      <c r="G1053" s="31">
        <v>0.91666666666666663</v>
      </c>
    </row>
    <row r="1054" spans="2:7">
      <c r="B1054" s="2">
        <v>45979</v>
      </c>
      <c r="C1054" s="33">
        <v>1</v>
      </c>
      <c r="D1054" s="33">
        <v>0</v>
      </c>
      <c r="E1054" s="33">
        <v>0</v>
      </c>
      <c r="F1054" s="31">
        <v>0.41666666666666669</v>
      </c>
      <c r="G1054" s="31">
        <v>0.91666666666666663</v>
      </c>
    </row>
    <row r="1055" spans="2:7">
      <c r="B1055" s="2">
        <v>45980</v>
      </c>
      <c r="C1055" s="33">
        <v>1</v>
      </c>
      <c r="D1055" s="33">
        <v>0</v>
      </c>
      <c r="E1055" s="33">
        <v>0</v>
      </c>
      <c r="F1055" s="31">
        <v>0.41666666666666669</v>
      </c>
      <c r="G1055" s="31">
        <v>0.91666666666666663</v>
      </c>
    </row>
    <row r="1056" spans="2:7">
      <c r="B1056" s="2">
        <v>45981</v>
      </c>
      <c r="C1056" s="33">
        <v>1</v>
      </c>
      <c r="D1056" s="33">
        <v>0</v>
      </c>
      <c r="E1056" s="33">
        <v>0</v>
      </c>
      <c r="F1056" s="31">
        <v>0.41666666666666669</v>
      </c>
      <c r="G1056" s="31">
        <v>0.91666666666666663</v>
      </c>
    </row>
    <row r="1057" spans="2:7">
      <c r="B1057" s="2">
        <v>45982</v>
      </c>
      <c r="C1057" s="33">
        <v>1</v>
      </c>
      <c r="D1057" s="33">
        <v>0</v>
      </c>
      <c r="E1057" s="33">
        <v>0</v>
      </c>
      <c r="F1057" s="31">
        <v>0.41666666666666669</v>
      </c>
      <c r="G1057" s="31">
        <v>0.91666666666666663</v>
      </c>
    </row>
    <row r="1058" spans="2:7">
      <c r="B1058" s="2">
        <v>45983</v>
      </c>
      <c r="C1058" s="33">
        <v>1</v>
      </c>
      <c r="D1058" s="33">
        <v>0</v>
      </c>
      <c r="E1058" s="33">
        <v>0</v>
      </c>
      <c r="F1058" s="31">
        <v>0.41666666666666669</v>
      </c>
      <c r="G1058" s="31">
        <v>0.91666666666666663</v>
      </c>
    </row>
    <row r="1059" spans="2:7">
      <c r="B1059" s="2">
        <v>45984</v>
      </c>
      <c r="C1059" s="33">
        <v>1</v>
      </c>
      <c r="D1059" s="33">
        <v>0</v>
      </c>
      <c r="E1059" s="33">
        <v>0</v>
      </c>
      <c r="F1059" s="31">
        <v>0.45833333333333331</v>
      </c>
      <c r="G1059" s="31">
        <v>0.875</v>
      </c>
    </row>
    <row r="1060" spans="2:7">
      <c r="B1060" s="2">
        <v>45985</v>
      </c>
      <c r="C1060" s="33">
        <v>1</v>
      </c>
      <c r="D1060" s="33">
        <v>0</v>
      </c>
      <c r="E1060" s="33">
        <v>0</v>
      </c>
      <c r="F1060" s="31">
        <v>0.41666666666666669</v>
      </c>
      <c r="G1060" s="31">
        <v>0.91666666666666663</v>
      </c>
    </row>
    <row r="1061" spans="2:7">
      <c r="B1061" s="2">
        <v>45986</v>
      </c>
      <c r="C1061" s="33">
        <v>1</v>
      </c>
      <c r="D1061" s="33">
        <v>0</v>
      </c>
      <c r="E1061" s="33">
        <v>0</v>
      </c>
      <c r="F1061" s="31">
        <v>0.41666666666666669</v>
      </c>
      <c r="G1061" s="31">
        <v>0.91666666666666663</v>
      </c>
    </row>
    <row r="1062" spans="2:7">
      <c r="B1062" s="2">
        <v>45987</v>
      </c>
      <c r="C1062" s="33">
        <v>1</v>
      </c>
      <c r="D1062" s="33">
        <v>0</v>
      </c>
      <c r="E1062" s="33">
        <v>0</v>
      </c>
      <c r="F1062" s="31">
        <v>0.41666666666666669</v>
      </c>
      <c r="G1062" s="31">
        <v>0.91666666666666663</v>
      </c>
    </row>
    <row r="1063" spans="2:7">
      <c r="B1063" s="2">
        <v>45988</v>
      </c>
      <c r="C1063" s="33">
        <v>1</v>
      </c>
      <c r="D1063" s="33">
        <v>0</v>
      </c>
      <c r="E1063" s="33">
        <v>0</v>
      </c>
      <c r="F1063" s="31">
        <v>0.41666666666666669</v>
      </c>
      <c r="G1063" s="31">
        <v>0.91666666666666663</v>
      </c>
    </row>
    <row r="1064" spans="2:7">
      <c r="B1064" s="2">
        <v>45989</v>
      </c>
      <c r="C1064" s="33">
        <v>1</v>
      </c>
      <c r="D1064" s="33">
        <v>0</v>
      </c>
      <c r="E1064" s="33">
        <v>0</v>
      </c>
      <c r="F1064" s="31">
        <v>0.41666666666666669</v>
      </c>
      <c r="G1064" s="31">
        <v>0.91666666666666663</v>
      </c>
    </row>
    <row r="1065" spans="2:7">
      <c r="B1065" s="2">
        <v>45990</v>
      </c>
      <c r="C1065" s="33">
        <v>1</v>
      </c>
      <c r="D1065" s="33">
        <v>0</v>
      </c>
      <c r="E1065" s="33">
        <v>0</v>
      </c>
      <c r="F1065" s="31">
        <v>0.41666666666666669</v>
      </c>
      <c r="G1065" s="31">
        <v>0.91666666666666663</v>
      </c>
    </row>
    <row r="1066" spans="2:7">
      <c r="B1066" s="2">
        <v>45991</v>
      </c>
      <c r="C1066" s="33">
        <v>1</v>
      </c>
      <c r="D1066" s="33">
        <v>0</v>
      </c>
      <c r="E1066" s="33">
        <v>0</v>
      </c>
      <c r="F1066" s="31">
        <v>0.41666666666666669</v>
      </c>
      <c r="G1066" s="31">
        <v>0.91666666666666663</v>
      </c>
    </row>
    <row r="1067" spans="2:7">
      <c r="B1067" s="2">
        <v>45992</v>
      </c>
      <c r="C1067" s="33">
        <v>1</v>
      </c>
      <c r="D1067" s="33">
        <v>0</v>
      </c>
      <c r="E1067" s="33">
        <v>0</v>
      </c>
      <c r="F1067" s="31">
        <v>0.41666666666666669</v>
      </c>
      <c r="G1067" s="31">
        <v>0.91666666666666663</v>
      </c>
    </row>
    <row r="1068" spans="2:7">
      <c r="B1068" s="2">
        <v>45993</v>
      </c>
      <c r="C1068" s="33">
        <v>1</v>
      </c>
      <c r="D1068" s="33">
        <v>0</v>
      </c>
      <c r="E1068" s="33">
        <v>0</v>
      </c>
      <c r="F1068" s="31">
        <v>0.41666666666666669</v>
      </c>
      <c r="G1068" s="31">
        <v>0.91666666666666663</v>
      </c>
    </row>
    <row r="1069" spans="2:7">
      <c r="B1069" s="2">
        <v>45994</v>
      </c>
      <c r="C1069" s="33">
        <v>1</v>
      </c>
      <c r="D1069" s="33">
        <v>0</v>
      </c>
      <c r="E1069" s="33">
        <v>0</v>
      </c>
      <c r="F1069" s="31">
        <v>0.41666666666666669</v>
      </c>
      <c r="G1069" s="31">
        <v>0.91666666666666663</v>
      </c>
    </row>
    <row r="1070" spans="2:7">
      <c r="B1070" s="2">
        <v>45995</v>
      </c>
      <c r="C1070" s="33">
        <v>1</v>
      </c>
      <c r="D1070" s="33">
        <v>0</v>
      </c>
      <c r="E1070" s="33">
        <v>0</v>
      </c>
      <c r="F1070" s="31">
        <v>0.41666666666666669</v>
      </c>
      <c r="G1070" s="31">
        <v>0.91666666666666663</v>
      </c>
    </row>
    <row r="1071" spans="2:7">
      <c r="B1071" s="2">
        <v>45996</v>
      </c>
      <c r="C1071" s="33">
        <v>1</v>
      </c>
      <c r="D1071" s="33">
        <v>0</v>
      </c>
      <c r="E1071" s="33">
        <v>0</v>
      </c>
      <c r="F1071" s="31">
        <v>0.41666666666666669</v>
      </c>
      <c r="G1071" s="31">
        <v>0.91666666666666663</v>
      </c>
    </row>
    <row r="1072" spans="2:7">
      <c r="B1072" s="2">
        <v>45997</v>
      </c>
      <c r="C1072" s="33">
        <v>1</v>
      </c>
      <c r="D1072" s="33">
        <v>0</v>
      </c>
      <c r="E1072" s="33">
        <v>0</v>
      </c>
      <c r="F1072" s="31">
        <v>0.41666666666666669</v>
      </c>
      <c r="G1072" s="31">
        <v>0.91666666666666663</v>
      </c>
    </row>
    <row r="1073" spans="2:7">
      <c r="B1073" s="2">
        <v>45998</v>
      </c>
      <c r="C1073" s="33">
        <v>1</v>
      </c>
      <c r="D1073" s="33">
        <v>0</v>
      </c>
      <c r="E1073" s="33">
        <v>0</v>
      </c>
      <c r="F1073" s="31">
        <v>0.41666666666666669</v>
      </c>
      <c r="G1073" s="31">
        <v>0.91666666666666663</v>
      </c>
    </row>
    <row r="1074" spans="2:7">
      <c r="B1074" s="2">
        <v>45999</v>
      </c>
      <c r="C1074" s="33">
        <v>1</v>
      </c>
      <c r="D1074" s="33">
        <v>0</v>
      </c>
      <c r="E1074" s="33">
        <v>0</v>
      </c>
      <c r="F1074" s="31">
        <v>0.41666666666666669</v>
      </c>
      <c r="G1074" s="31">
        <v>0.91666666666666663</v>
      </c>
    </row>
    <row r="1075" spans="2:7">
      <c r="B1075" s="2">
        <v>46000</v>
      </c>
      <c r="C1075" s="33">
        <v>1</v>
      </c>
      <c r="D1075" s="33">
        <v>0</v>
      </c>
      <c r="E1075" s="33">
        <v>0</v>
      </c>
      <c r="F1075" s="31">
        <v>0.41666666666666669</v>
      </c>
      <c r="G1075" s="31">
        <v>0.91666666666666663</v>
      </c>
    </row>
    <row r="1076" spans="2:7">
      <c r="B1076" s="2">
        <v>46001</v>
      </c>
      <c r="C1076" s="33">
        <v>1</v>
      </c>
      <c r="D1076" s="33">
        <v>0</v>
      </c>
      <c r="E1076" s="33">
        <v>0</v>
      </c>
      <c r="F1076" s="31">
        <v>0.41666666666666669</v>
      </c>
      <c r="G1076" s="31">
        <v>0.91666666666666663</v>
      </c>
    </row>
    <row r="1077" spans="2:7">
      <c r="B1077" s="2">
        <v>46002</v>
      </c>
      <c r="C1077" s="33">
        <v>1</v>
      </c>
      <c r="D1077" s="33">
        <v>0</v>
      </c>
      <c r="E1077" s="33">
        <v>0</v>
      </c>
      <c r="F1077" s="31">
        <v>0.41666666666666669</v>
      </c>
      <c r="G1077" s="31">
        <v>0.91666666666666663</v>
      </c>
    </row>
    <row r="1078" spans="2:7">
      <c r="B1078" s="2">
        <v>46003</v>
      </c>
      <c r="C1078" s="33">
        <v>1</v>
      </c>
      <c r="D1078" s="33">
        <v>0</v>
      </c>
      <c r="E1078" s="33">
        <v>0</v>
      </c>
      <c r="F1078" s="31">
        <v>0.41666666666666669</v>
      </c>
      <c r="G1078" s="31">
        <v>0.91666666666666663</v>
      </c>
    </row>
    <row r="1079" spans="2:7">
      <c r="B1079" s="2">
        <v>46004</v>
      </c>
      <c r="C1079" s="33">
        <v>1</v>
      </c>
      <c r="D1079" s="33">
        <v>0</v>
      </c>
      <c r="E1079" s="33">
        <v>0</v>
      </c>
      <c r="F1079" s="31">
        <v>0.41666666666666669</v>
      </c>
      <c r="G1079" s="31">
        <v>0.91666666666666663</v>
      </c>
    </row>
    <row r="1080" spans="2:7">
      <c r="B1080" s="2">
        <v>46005</v>
      </c>
      <c r="C1080" s="33">
        <v>1</v>
      </c>
      <c r="D1080" s="33">
        <v>0</v>
      </c>
      <c r="E1080" s="33">
        <v>0</v>
      </c>
      <c r="F1080" s="31">
        <v>0.41666666666666669</v>
      </c>
      <c r="G1080" s="31">
        <v>0.91666666666666663</v>
      </c>
    </row>
    <row r="1081" spans="2:7">
      <c r="B1081" s="2">
        <v>46006</v>
      </c>
      <c r="C1081" s="33">
        <v>1</v>
      </c>
      <c r="D1081" s="33">
        <v>0</v>
      </c>
      <c r="E1081" s="33">
        <v>0</v>
      </c>
      <c r="F1081" s="31">
        <v>0.41666666666666669</v>
      </c>
      <c r="G1081" s="31">
        <v>0.91666666666666663</v>
      </c>
    </row>
    <row r="1082" spans="2:7">
      <c r="B1082" s="2">
        <v>46007</v>
      </c>
      <c r="C1082" s="33">
        <v>1</v>
      </c>
      <c r="D1082" s="33">
        <v>0</v>
      </c>
      <c r="E1082" s="33">
        <v>0</v>
      </c>
      <c r="F1082" s="31">
        <v>0.41666666666666669</v>
      </c>
      <c r="G1082" s="31">
        <v>0.91666666666666663</v>
      </c>
    </row>
    <row r="1083" spans="2:7">
      <c r="B1083" s="2">
        <v>46008</v>
      </c>
      <c r="C1083" s="33">
        <v>1</v>
      </c>
      <c r="D1083" s="33">
        <v>0</v>
      </c>
      <c r="E1083" s="33">
        <v>0</v>
      </c>
      <c r="F1083" s="31">
        <v>0.41666666666666669</v>
      </c>
      <c r="G1083" s="31">
        <v>0.91666666666666663</v>
      </c>
    </row>
    <row r="1084" spans="2:7">
      <c r="B1084" s="2">
        <v>46009</v>
      </c>
      <c r="C1084" s="33">
        <v>1</v>
      </c>
      <c r="D1084" s="33">
        <v>0</v>
      </c>
      <c r="E1084" s="33">
        <v>0</v>
      </c>
      <c r="F1084" s="31">
        <v>0.41666666666666669</v>
      </c>
      <c r="G1084" s="31">
        <v>0.91666666666666663</v>
      </c>
    </row>
    <row r="1085" spans="2:7">
      <c r="B1085" s="2">
        <v>46010</v>
      </c>
      <c r="C1085" s="33">
        <v>1</v>
      </c>
      <c r="D1085" s="33">
        <v>0</v>
      </c>
      <c r="E1085" s="33">
        <v>0</v>
      </c>
      <c r="F1085" s="31">
        <v>0.41666666666666669</v>
      </c>
      <c r="G1085" s="31">
        <v>0.91666666666666663</v>
      </c>
    </row>
    <row r="1086" spans="2:7">
      <c r="B1086" s="2">
        <v>46011</v>
      </c>
      <c r="C1086" s="33">
        <v>1</v>
      </c>
      <c r="D1086" s="33">
        <v>0</v>
      </c>
      <c r="E1086" s="33">
        <v>0</v>
      </c>
      <c r="F1086" s="31">
        <v>0.41666666666666669</v>
      </c>
      <c r="G1086" s="31">
        <v>0.91666666666666663</v>
      </c>
    </row>
    <row r="1087" spans="2:7">
      <c r="B1087" s="2">
        <v>46012</v>
      </c>
      <c r="C1087" s="33">
        <v>1</v>
      </c>
      <c r="D1087" s="33">
        <v>0</v>
      </c>
      <c r="E1087" s="33">
        <v>0</v>
      </c>
      <c r="F1087" s="31">
        <v>0.41666666666666669</v>
      </c>
      <c r="G1087" s="31">
        <v>0.91666666666666663</v>
      </c>
    </row>
    <row r="1088" spans="2:7">
      <c r="B1088" s="2">
        <v>46013</v>
      </c>
      <c r="C1088" s="33">
        <v>1</v>
      </c>
      <c r="D1088" s="33">
        <v>0</v>
      </c>
      <c r="E1088" s="33">
        <v>0</v>
      </c>
      <c r="F1088" s="31">
        <v>0.41666666666666669</v>
      </c>
      <c r="G1088" s="31">
        <v>0.91666666666666663</v>
      </c>
    </row>
    <row r="1089" spans="2:7">
      <c r="B1089" s="2">
        <v>46014</v>
      </c>
      <c r="C1089" s="33">
        <v>1</v>
      </c>
      <c r="D1089" s="33">
        <v>0</v>
      </c>
      <c r="E1089" s="33">
        <v>0</v>
      </c>
      <c r="F1089" s="31">
        <v>0.41666666666666669</v>
      </c>
      <c r="G1089" s="31">
        <v>0.91666666666666663</v>
      </c>
    </row>
    <row r="1090" spans="2:7">
      <c r="B1090" s="2">
        <v>46015</v>
      </c>
      <c r="C1090" s="33">
        <v>1</v>
      </c>
      <c r="D1090" s="33">
        <v>0</v>
      </c>
      <c r="E1090" s="33">
        <v>0</v>
      </c>
      <c r="F1090" s="31">
        <v>0.41666666666666669</v>
      </c>
      <c r="G1090" s="31">
        <v>0.91666666666666663</v>
      </c>
    </row>
    <row r="1091" spans="2:7">
      <c r="B1091" s="2">
        <v>46016</v>
      </c>
      <c r="C1091" s="33">
        <v>0</v>
      </c>
      <c r="D1091" s="33">
        <v>1</v>
      </c>
      <c r="E1091" s="33">
        <v>0</v>
      </c>
    </row>
    <row r="1092" spans="2:7">
      <c r="B1092" s="2">
        <v>46017</v>
      </c>
      <c r="C1092" s="33">
        <v>1</v>
      </c>
      <c r="D1092" s="33">
        <v>0</v>
      </c>
      <c r="E1092" s="33">
        <v>1</v>
      </c>
      <c r="F1092" s="31">
        <v>0.41666666666666669</v>
      </c>
      <c r="G1092" s="31">
        <v>0.91666666666666663</v>
      </c>
    </row>
    <row r="1093" spans="2:7">
      <c r="B1093" s="2">
        <v>46018</v>
      </c>
      <c r="C1093" s="33">
        <v>1</v>
      </c>
      <c r="D1093" s="33">
        <v>0</v>
      </c>
      <c r="E1093" s="33">
        <v>0</v>
      </c>
      <c r="F1093" s="31">
        <v>0.41666666666666669</v>
      </c>
      <c r="G1093" s="31">
        <v>0.91666666666666663</v>
      </c>
    </row>
    <row r="1094" spans="2:7">
      <c r="B1094" s="2">
        <v>46019</v>
      </c>
      <c r="C1094" s="33">
        <v>1</v>
      </c>
      <c r="D1094" s="33">
        <v>0</v>
      </c>
      <c r="E1094" s="33">
        <v>0</v>
      </c>
      <c r="F1094" s="31">
        <v>0.41666666666666669</v>
      </c>
      <c r="G1094" s="31">
        <v>0.91666666666666663</v>
      </c>
    </row>
    <row r="1095" spans="2:7">
      <c r="B1095" s="2">
        <v>46020</v>
      </c>
      <c r="C1095" s="33">
        <v>1</v>
      </c>
      <c r="D1095" s="33">
        <v>0</v>
      </c>
      <c r="E1095" s="33">
        <v>0</v>
      </c>
      <c r="F1095" s="31">
        <v>0.41666666666666669</v>
      </c>
      <c r="G1095" s="31">
        <v>0.91666666666666663</v>
      </c>
    </row>
    <row r="1096" spans="2:7">
      <c r="B1096" s="2">
        <v>46021</v>
      </c>
      <c r="C1096" s="33">
        <v>1</v>
      </c>
      <c r="D1096" s="33">
        <v>0</v>
      </c>
      <c r="E1096" s="33">
        <v>0</v>
      </c>
      <c r="F1096" s="31">
        <v>0.41666666666666669</v>
      </c>
      <c r="G1096" s="31">
        <v>0.91666666666666663</v>
      </c>
    </row>
    <row r="1097" spans="2:7">
      <c r="B1097" s="2">
        <v>46022</v>
      </c>
      <c r="C1097" s="33">
        <v>1</v>
      </c>
      <c r="D1097" s="33">
        <v>0</v>
      </c>
      <c r="E1097" s="33">
        <v>0</v>
      </c>
      <c r="F1097" s="31">
        <v>0.41666666666666669</v>
      </c>
      <c r="G1097" s="31">
        <v>0.91666666666666663</v>
      </c>
    </row>
    <row r="1098" spans="2:7">
      <c r="B1098" s="2">
        <v>46023</v>
      </c>
      <c r="C1098" s="33">
        <v>0</v>
      </c>
      <c r="D1098" s="33">
        <v>1</v>
      </c>
      <c r="E1098" s="33">
        <v>0</v>
      </c>
    </row>
    <row r="1099" spans="2:7">
      <c r="B1099" s="2">
        <v>46024</v>
      </c>
      <c r="C1099" s="33">
        <v>1</v>
      </c>
      <c r="D1099" s="33">
        <v>0</v>
      </c>
      <c r="E1099" s="33">
        <v>1</v>
      </c>
      <c r="F1099" s="31">
        <v>0.41666666666666669</v>
      </c>
      <c r="G1099" s="31">
        <v>0.91666666666666663</v>
      </c>
    </row>
    <row r="1100" spans="2:7">
      <c r="B1100" s="2">
        <v>46025</v>
      </c>
      <c r="C1100" s="33">
        <v>1</v>
      </c>
      <c r="D1100" s="33">
        <v>0</v>
      </c>
      <c r="E1100" s="33">
        <v>0</v>
      </c>
      <c r="F1100" s="31">
        <v>0.41666666666666669</v>
      </c>
      <c r="G1100" s="31">
        <v>0.91666666666666663</v>
      </c>
    </row>
    <row r="1101" spans="2:7">
      <c r="B1101" s="2">
        <v>46026</v>
      </c>
      <c r="C1101" s="33">
        <v>1</v>
      </c>
      <c r="D1101" s="33">
        <v>0</v>
      </c>
      <c r="E1101" s="33">
        <v>0</v>
      </c>
      <c r="F1101" s="31">
        <v>0.41666666666666669</v>
      </c>
      <c r="G1101" s="31">
        <v>0.91666666666666663</v>
      </c>
    </row>
    <row r="1102" spans="2:7">
      <c r="B1102" s="2">
        <v>46027</v>
      </c>
      <c r="C1102" s="33">
        <v>1</v>
      </c>
      <c r="D1102" s="33">
        <v>0</v>
      </c>
      <c r="E1102" s="33">
        <v>0</v>
      </c>
      <c r="F1102" s="31">
        <v>0.41666666666666669</v>
      </c>
      <c r="G1102" s="31">
        <v>0.91666666666666663</v>
      </c>
    </row>
    <row r="1103" spans="2:7">
      <c r="B1103" s="2">
        <v>46028</v>
      </c>
      <c r="C1103" s="33">
        <v>0</v>
      </c>
      <c r="D1103" s="33">
        <v>1</v>
      </c>
      <c r="E1103" s="33">
        <v>0</v>
      </c>
    </row>
    <row r="1104" spans="2:7">
      <c r="B1104" s="2">
        <v>46029</v>
      </c>
      <c r="C1104" s="33">
        <v>1</v>
      </c>
      <c r="D1104" s="33">
        <v>0</v>
      </c>
      <c r="E1104" s="33">
        <v>1</v>
      </c>
      <c r="F1104" s="31">
        <v>0.41666666666666669</v>
      </c>
      <c r="G1104" s="31">
        <v>0.91666666666666663</v>
      </c>
    </row>
    <row r="1105" spans="2:7">
      <c r="B1105" s="2">
        <v>46030</v>
      </c>
      <c r="C1105" s="33">
        <v>1</v>
      </c>
      <c r="D1105" s="33">
        <v>0</v>
      </c>
      <c r="E1105" s="33">
        <v>0</v>
      </c>
      <c r="F1105" s="31">
        <v>0.41666666666666669</v>
      </c>
      <c r="G1105" s="31">
        <v>0.91666666666666663</v>
      </c>
    </row>
    <row r="1106" spans="2:7">
      <c r="B1106" s="2">
        <v>46031</v>
      </c>
      <c r="C1106" s="33">
        <v>1</v>
      </c>
      <c r="D1106" s="33">
        <v>0</v>
      </c>
      <c r="E1106" s="33">
        <v>0</v>
      </c>
      <c r="F1106" s="31">
        <v>0.41666666666666669</v>
      </c>
      <c r="G1106" s="31">
        <v>0.91666666666666663</v>
      </c>
    </row>
    <row r="1107" spans="2:7">
      <c r="B1107" s="2">
        <v>46032</v>
      </c>
      <c r="C1107" s="33">
        <v>1</v>
      </c>
      <c r="D1107" s="33">
        <v>0</v>
      </c>
      <c r="E1107" s="33">
        <v>0</v>
      </c>
      <c r="F1107" s="31">
        <v>0.41666666666666669</v>
      </c>
      <c r="G1107" s="31">
        <v>0.91666666666666663</v>
      </c>
    </row>
    <row r="1108" spans="2:7">
      <c r="B1108" s="2">
        <v>46033</v>
      </c>
      <c r="C1108" s="33">
        <v>1</v>
      </c>
      <c r="D1108" s="33">
        <v>0</v>
      </c>
      <c r="E1108" s="33">
        <v>0</v>
      </c>
      <c r="F1108" s="31">
        <v>0.41666666666666669</v>
      </c>
      <c r="G1108" s="31">
        <v>0.91666666666666663</v>
      </c>
    </row>
    <row r="1109" spans="2:7">
      <c r="B1109" s="2">
        <v>46034</v>
      </c>
      <c r="C1109" s="33">
        <v>1</v>
      </c>
      <c r="D1109" s="33">
        <v>0</v>
      </c>
      <c r="E1109" s="33">
        <v>0</v>
      </c>
      <c r="F1109" s="31">
        <v>0.41666666666666669</v>
      </c>
      <c r="G1109" s="31">
        <v>0.91666666666666663</v>
      </c>
    </row>
    <row r="1110" spans="2:7">
      <c r="B1110" s="2">
        <v>46035</v>
      </c>
      <c r="C1110" s="33">
        <v>1</v>
      </c>
      <c r="D1110" s="33">
        <v>0</v>
      </c>
      <c r="E1110" s="33">
        <v>0</v>
      </c>
      <c r="F1110" s="31">
        <v>0.41666666666666669</v>
      </c>
      <c r="G1110" s="31">
        <v>0.91666666666666663</v>
      </c>
    </row>
    <row r="1111" spans="2:7">
      <c r="B1111" s="2">
        <v>46036</v>
      </c>
      <c r="C1111" s="33">
        <v>1</v>
      </c>
      <c r="D1111" s="33">
        <v>0</v>
      </c>
      <c r="E1111" s="33">
        <v>0</v>
      </c>
      <c r="F1111" s="31">
        <v>0.41666666666666669</v>
      </c>
      <c r="G1111" s="31">
        <v>0.91666666666666663</v>
      </c>
    </row>
    <row r="1112" spans="2:7">
      <c r="B1112" s="2">
        <v>46037</v>
      </c>
      <c r="C1112" s="33">
        <v>1</v>
      </c>
      <c r="D1112" s="33">
        <v>0</v>
      </c>
      <c r="E1112" s="33">
        <v>0</v>
      </c>
      <c r="F1112" s="31">
        <v>0.41666666666666669</v>
      </c>
      <c r="G1112" s="31">
        <v>0.91666666666666663</v>
      </c>
    </row>
    <row r="1113" spans="2:7">
      <c r="B1113" s="2">
        <v>46038</v>
      </c>
      <c r="C1113" s="33">
        <v>1</v>
      </c>
      <c r="D1113" s="33">
        <v>0</v>
      </c>
      <c r="E1113" s="33">
        <v>0</v>
      </c>
      <c r="F1113" s="31">
        <v>0.41666666666666669</v>
      </c>
      <c r="G1113" s="31">
        <v>0.91666666666666663</v>
      </c>
    </row>
    <row r="1114" spans="2:7">
      <c r="B1114" s="2">
        <v>46039</v>
      </c>
      <c r="C1114" s="33">
        <v>1</v>
      </c>
      <c r="D1114" s="33">
        <v>0</v>
      </c>
      <c r="E1114" s="33">
        <v>0</v>
      </c>
      <c r="F1114" s="31">
        <v>0.41666666666666669</v>
      </c>
      <c r="G1114" s="31">
        <v>0.91666666666666663</v>
      </c>
    </row>
    <row r="1115" spans="2:7">
      <c r="B1115" s="2">
        <v>46040</v>
      </c>
      <c r="C1115" s="33">
        <v>0</v>
      </c>
      <c r="D1115" s="33">
        <v>1</v>
      </c>
      <c r="E1115" s="33">
        <v>0</v>
      </c>
    </row>
    <row r="1116" spans="2:7">
      <c r="B1116" s="2">
        <v>46041</v>
      </c>
      <c r="C1116" s="33">
        <v>1</v>
      </c>
      <c r="D1116" s="33">
        <v>0</v>
      </c>
      <c r="E1116" s="33">
        <v>1</v>
      </c>
      <c r="F1116" s="31">
        <v>0.41666666666666669</v>
      </c>
      <c r="G1116" s="31">
        <v>0.91666666666666663</v>
      </c>
    </row>
    <row r="1117" spans="2:7">
      <c r="B1117" s="2">
        <v>46042</v>
      </c>
      <c r="C1117" s="33">
        <v>1</v>
      </c>
      <c r="D1117" s="33">
        <v>0</v>
      </c>
      <c r="E1117" s="33">
        <v>0</v>
      </c>
      <c r="F1117" s="31">
        <v>0.41666666666666669</v>
      </c>
      <c r="G1117" s="31">
        <v>0.91666666666666663</v>
      </c>
    </row>
    <row r="1118" spans="2:7">
      <c r="B1118" s="2">
        <v>46043</v>
      </c>
      <c r="C1118" s="33">
        <v>1</v>
      </c>
      <c r="D1118" s="33">
        <v>0</v>
      </c>
      <c r="E1118" s="33">
        <v>0</v>
      </c>
      <c r="F1118" s="31">
        <v>0.41666666666666669</v>
      </c>
      <c r="G1118" s="31">
        <v>0.91666666666666663</v>
      </c>
    </row>
    <row r="1119" spans="2:7">
      <c r="B1119" s="2">
        <v>46044</v>
      </c>
      <c r="C1119" s="33">
        <v>0</v>
      </c>
      <c r="D1119" s="33">
        <v>1</v>
      </c>
      <c r="E1119" s="33">
        <v>0</v>
      </c>
    </row>
    <row r="1120" spans="2:7">
      <c r="B1120" s="2">
        <v>46045</v>
      </c>
      <c r="C1120" s="33">
        <v>1</v>
      </c>
      <c r="D1120" s="33">
        <v>0</v>
      </c>
      <c r="E1120" s="33">
        <v>1</v>
      </c>
      <c r="F1120" s="31">
        <v>0.41666666666666669</v>
      </c>
      <c r="G1120" s="31">
        <v>0.91666666666666663</v>
      </c>
    </row>
    <row r="1121" spans="2:7">
      <c r="B1121" s="2">
        <v>46046</v>
      </c>
      <c r="C1121" s="33">
        <v>1</v>
      </c>
      <c r="D1121" s="33">
        <v>0</v>
      </c>
      <c r="E1121" s="33">
        <v>0</v>
      </c>
      <c r="F1121" s="31">
        <v>0.41666666666666669</v>
      </c>
      <c r="G1121" s="31">
        <v>0.91666666666666663</v>
      </c>
    </row>
    <row r="1122" spans="2:7">
      <c r="B1122" s="2">
        <v>46047</v>
      </c>
      <c r="C1122" s="33">
        <v>0</v>
      </c>
      <c r="D1122" s="33">
        <v>1</v>
      </c>
      <c r="E1122" s="33">
        <v>0</v>
      </c>
    </row>
    <row r="1123" spans="2:7">
      <c r="B1123" s="2">
        <v>46048</v>
      </c>
      <c r="C1123" s="33">
        <v>1</v>
      </c>
      <c r="D1123" s="33">
        <v>0</v>
      </c>
      <c r="E1123" s="33">
        <v>1</v>
      </c>
      <c r="F1123" s="31">
        <v>0.41666666666666669</v>
      </c>
      <c r="G1123" s="31">
        <v>0.91666666666666663</v>
      </c>
    </row>
    <row r="1124" spans="2:7">
      <c r="B1124" s="2">
        <v>46049</v>
      </c>
      <c r="C1124" s="33">
        <v>1</v>
      </c>
      <c r="D1124" s="33">
        <v>0</v>
      </c>
      <c r="E1124" s="33">
        <v>0</v>
      </c>
      <c r="F1124" s="31">
        <v>0.41666666666666669</v>
      </c>
      <c r="G1124" s="31">
        <v>0.91666666666666663</v>
      </c>
    </row>
    <row r="1125" spans="2:7">
      <c r="B1125" s="2">
        <v>46050</v>
      </c>
      <c r="C1125" s="33">
        <v>1</v>
      </c>
      <c r="D1125" s="33">
        <v>0</v>
      </c>
      <c r="E1125" s="33">
        <v>0</v>
      </c>
      <c r="F1125" s="31">
        <v>0.41666666666666669</v>
      </c>
      <c r="G1125" s="31">
        <v>0.91666666666666663</v>
      </c>
    </row>
    <row r="1126" spans="2:7">
      <c r="B1126" s="2">
        <v>46051</v>
      </c>
      <c r="C1126" s="33">
        <v>1</v>
      </c>
      <c r="D1126" s="33">
        <v>0</v>
      </c>
      <c r="E1126" s="33">
        <v>0</v>
      </c>
      <c r="F1126" s="31">
        <v>0.41666666666666669</v>
      </c>
      <c r="G1126" s="31">
        <v>0.91666666666666663</v>
      </c>
    </row>
    <row r="1127" spans="2:7">
      <c r="B1127" s="2">
        <v>46052</v>
      </c>
      <c r="C1127" s="33">
        <v>1</v>
      </c>
      <c r="D1127" s="33">
        <v>0</v>
      </c>
      <c r="E1127" s="33">
        <v>0</v>
      </c>
      <c r="F1127" s="31">
        <v>0.41666666666666669</v>
      </c>
      <c r="G1127" s="31">
        <v>0.91666666666666663</v>
      </c>
    </row>
    <row r="1128" spans="2:7">
      <c r="B1128" s="2">
        <v>46053</v>
      </c>
      <c r="C1128" s="33">
        <v>1</v>
      </c>
      <c r="D1128" s="33">
        <v>0</v>
      </c>
      <c r="E1128" s="33">
        <v>0</v>
      </c>
      <c r="F1128" s="31">
        <v>0.41666666666666669</v>
      </c>
      <c r="G1128" s="31">
        <v>0.91666666666666663</v>
      </c>
    </row>
    <row r="1129" spans="2:7">
      <c r="B1129" s="2">
        <v>46054</v>
      </c>
      <c r="C1129" s="33">
        <v>0</v>
      </c>
      <c r="D1129" s="33">
        <v>1</v>
      </c>
      <c r="E1129" s="33">
        <v>0</v>
      </c>
    </row>
    <row r="1130" spans="2:7">
      <c r="B1130" s="2">
        <v>46055</v>
      </c>
      <c r="C1130" s="33">
        <v>1</v>
      </c>
      <c r="D1130" s="33">
        <v>0</v>
      </c>
      <c r="E1130" s="33">
        <v>1</v>
      </c>
      <c r="F1130" s="31">
        <v>0.41666666666666669</v>
      </c>
      <c r="G1130" s="31">
        <v>0.91666666666666663</v>
      </c>
    </row>
    <row r="1131" spans="2:7">
      <c r="B1131" s="2">
        <v>46056</v>
      </c>
      <c r="C1131" s="33">
        <v>1</v>
      </c>
      <c r="D1131" s="33">
        <v>0</v>
      </c>
      <c r="E1131" s="33">
        <v>0</v>
      </c>
      <c r="F1131" s="31">
        <v>0.41666666666666669</v>
      </c>
      <c r="G1131" s="31">
        <v>0.91666666666666663</v>
      </c>
    </row>
    <row r="1132" spans="2:7">
      <c r="B1132" s="2">
        <v>46057</v>
      </c>
      <c r="C1132" s="33">
        <v>1</v>
      </c>
      <c r="D1132" s="33">
        <v>0</v>
      </c>
      <c r="E1132" s="33">
        <v>0</v>
      </c>
      <c r="F1132" s="31">
        <v>0.41666666666666669</v>
      </c>
      <c r="G1132" s="31">
        <v>0.91666666666666663</v>
      </c>
    </row>
    <row r="1133" spans="2:7">
      <c r="B1133" s="2">
        <v>46058</v>
      </c>
      <c r="C1133" s="33">
        <v>1</v>
      </c>
      <c r="D1133" s="33">
        <v>0</v>
      </c>
      <c r="E1133" s="33">
        <v>0</v>
      </c>
      <c r="F1133" s="31">
        <v>0.41666666666666669</v>
      </c>
      <c r="G1133" s="31">
        <v>0.91666666666666663</v>
      </c>
    </row>
    <row r="1134" spans="2:7">
      <c r="B1134" s="2">
        <v>46059</v>
      </c>
      <c r="C1134" s="33">
        <v>1</v>
      </c>
      <c r="D1134" s="33">
        <v>0</v>
      </c>
      <c r="E1134" s="33">
        <v>0</v>
      </c>
      <c r="F1134" s="31">
        <v>0.41666666666666669</v>
      </c>
      <c r="G1134" s="31">
        <v>0.91666666666666663</v>
      </c>
    </row>
    <row r="1135" spans="2:7">
      <c r="B1135" s="2">
        <v>46060</v>
      </c>
      <c r="C1135" s="33">
        <v>1</v>
      </c>
      <c r="D1135" s="33">
        <v>0</v>
      </c>
      <c r="E1135" s="33">
        <v>0</v>
      </c>
      <c r="F1135" s="31">
        <v>0.41666666666666669</v>
      </c>
      <c r="G1135" s="31">
        <v>0.91666666666666663</v>
      </c>
    </row>
    <row r="1136" spans="2:7">
      <c r="B1136" s="2">
        <v>46061</v>
      </c>
      <c r="C1136" s="33">
        <v>0</v>
      </c>
      <c r="D1136" s="33">
        <v>1</v>
      </c>
      <c r="E1136" s="33">
        <v>0</v>
      </c>
    </row>
    <row r="1137" spans="2:7">
      <c r="B1137" s="2">
        <v>46062</v>
      </c>
      <c r="C1137" s="33">
        <v>1</v>
      </c>
      <c r="D1137" s="33">
        <v>0</v>
      </c>
      <c r="E1137" s="33">
        <v>1</v>
      </c>
      <c r="F1137" s="31">
        <v>0.41666666666666669</v>
      </c>
      <c r="G1137" s="31">
        <v>0.91666666666666663</v>
      </c>
    </row>
    <row r="1138" spans="2:7">
      <c r="B1138" s="2">
        <v>46063</v>
      </c>
      <c r="C1138" s="33">
        <v>1</v>
      </c>
      <c r="D1138" s="33">
        <v>0</v>
      </c>
      <c r="E1138" s="33">
        <v>0</v>
      </c>
      <c r="F1138" s="31">
        <v>0.41666666666666669</v>
      </c>
      <c r="G1138" s="31">
        <v>0.91666666666666663</v>
      </c>
    </row>
    <row r="1139" spans="2:7">
      <c r="B1139" s="2">
        <v>46064</v>
      </c>
      <c r="C1139" s="33">
        <v>1</v>
      </c>
      <c r="D1139" s="33">
        <v>0</v>
      </c>
      <c r="E1139" s="33">
        <v>0</v>
      </c>
      <c r="F1139" s="31">
        <v>0.41666666666666669</v>
      </c>
      <c r="G1139" s="31">
        <v>0.91666666666666663</v>
      </c>
    </row>
    <row r="1140" spans="2:7">
      <c r="B1140" s="2">
        <v>46065</v>
      </c>
      <c r="C1140" s="33">
        <v>1</v>
      </c>
      <c r="D1140" s="33">
        <v>0</v>
      </c>
      <c r="E1140" s="33">
        <v>0</v>
      </c>
      <c r="F1140" s="31">
        <v>0.41666666666666669</v>
      </c>
      <c r="G1140" s="31">
        <v>0.91666666666666663</v>
      </c>
    </row>
    <row r="1141" spans="2:7">
      <c r="B1141" s="2">
        <v>46066</v>
      </c>
      <c r="C1141" s="33">
        <v>1</v>
      </c>
      <c r="D1141" s="33">
        <v>0</v>
      </c>
      <c r="E1141" s="33">
        <v>0</v>
      </c>
      <c r="F1141" s="31">
        <v>0.41666666666666669</v>
      </c>
      <c r="G1141" s="31">
        <v>0.91666666666666663</v>
      </c>
    </row>
    <row r="1142" spans="2:7">
      <c r="B1142" s="2">
        <v>46067</v>
      </c>
      <c r="C1142" s="33">
        <v>1</v>
      </c>
      <c r="D1142" s="33">
        <v>0</v>
      </c>
      <c r="E1142" s="33">
        <v>0</v>
      </c>
      <c r="F1142" s="31">
        <v>0.41666666666666669</v>
      </c>
      <c r="G1142" s="31">
        <v>0.91666666666666663</v>
      </c>
    </row>
    <row r="1143" spans="2:7">
      <c r="B1143" s="2">
        <v>46068</v>
      </c>
      <c r="C1143" s="33">
        <v>0</v>
      </c>
      <c r="D1143" s="33">
        <v>1</v>
      </c>
      <c r="E1143" s="33">
        <v>0</v>
      </c>
    </row>
    <row r="1144" spans="2:7">
      <c r="B1144" s="2">
        <v>46069</v>
      </c>
      <c r="C1144" s="33">
        <v>1</v>
      </c>
      <c r="D1144" s="33">
        <v>0</v>
      </c>
      <c r="E1144" s="33">
        <v>1</v>
      </c>
      <c r="F1144" s="31">
        <v>0.41666666666666669</v>
      </c>
      <c r="G1144" s="31">
        <v>0.91666666666666663</v>
      </c>
    </row>
    <row r="1145" spans="2:7">
      <c r="B1145" s="2">
        <v>46070</v>
      </c>
      <c r="C1145" s="33">
        <v>1</v>
      </c>
      <c r="D1145" s="33">
        <v>0</v>
      </c>
      <c r="E1145" s="33">
        <v>0</v>
      </c>
      <c r="F1145" s="31">
        <v>0.41666666666666669</v>
      </c>
      <c r="G1145" s="31">
        <v>0.91666666666666663</v>
      </c>
    </row>
    <row r="1146" spans="2:7">
      <c r="B1146" s="2">
        <v>46071</v>
      </c>
      <c r="C1146" s="33">
        <v>1</v>
      </c>
      <c r="D1146" s="33">
        <v>0</v>
      </c>
      <c r="E1146" s="33">
        <v>0</v>
      </c>
      <c r="F1146" s="31">
        <v>0.41666666666666669</v>
      </c>
      <c r="G1146" s="31">
        <v>0.91666666666666663</v>
      </c>
    </row>
    <row r="1147" spans="2:7">
      <c r="B1147" s="2">
        <v>46072</v>
      </c>
      <c r="C1147" s="33">
        <v>1</v>
      </c>
      <c r="D1147" s="33">
        <v>0</v>
      </c>
      <c r="E1147" s="33">
        <v>0</v>
      </c>
      <c r="F1147" s="31">
        <v>0.41666666666666669</v>
      </c>
      <c r="G1147" s="31">
        <v>0.91666666666666663</v>
      </c>
    </row>
    <row r="1148" spans="2:7">
      <c r="B1148" s="2">
        <v>46073</v>
      </c>
      <c r="C1148" s="33">
        <v>1</v>
      </c>
      <c r="D1148" s="33">
        <v>0</v>
      </c>
      <c r="E1148" s="33">
        <v>0</v>
      </c>
      <c r="F1148" s="31">
        <v>0.41666666666666669</v>
      </c>
      <c r="G1148" s="31">
        <v>0.91666666666666663</v>
      </c>
    </row>
    <row r="1149" spans="2:7">
      <c r="B1149" s="2">
        <v>46074</v>
      </c>
      <c r="C1149" s="33">
        <v>1</v>
      </c>
      <c r="D1149" s="33">
        <v>0</v>
      </c>
      <c r="E1149" s="33">
        <v>0</v>
      </c>
      <c r="F1149" s="31">
        <v>0.41666666666666669</v>
      </c>
      <c r="G1149" s="31">
        <v>0.91666666666666663</v>
      </c>
    </row>
    <row r="1150" spans="2:7">
      <c r="B1150" s="2">
        <v>46075</v>
      </c>
      <c r="C1150" s="33">
        <v>0</v>
      </c>
      <c r="D1150" s="33">
        <v>1</v>
      </c>
      <c r="E1150" s="33">
        <v>0</v>
      </c>
    </row>
    <row r="1151" spans="2:7">
      <c r="B1151" s="2">
        <v>46076</v>
      </c>
      <c r="C1151" s="33">
        <v>1</v>
      </c>
      <c r="D1151" s="33">
        <v>0</v>
      </c>
      <c r="E1151" s="33">
        <v>1</v>
      </c>
      <c r="F1151" s="31">
        <v>0.41666666666666669</v>
      </c>
      <c r="G1151" s="31">
        <v>0.91666666666666663</v>
      </c>
    </row>
    <row r="1152" spans="2:7">
      <c r="B1152" s="2">
        <v>46077</v>
      </c>
      <c r="C1152" s="33">
        <v>1</v>
      </c>
      <c r="D1152" s="33">
        <v>0</v>
      </c>
      <c r="E1152" s="33">
        <v>0</v>
      </c>
      <c r="F1152" s="31">
        <v>0.41666666666666669</v>
      </c>
      <c r="G1152" s="31">
        <v>0.91666666666666663</v>
      </c>
    </row>
    <row r="1153" spans="2:7">
      <c r="B1153" s="2">
        <v>46078</v>
      </c>
      <c r="C1153" s="33">
        <v>1</v>
      </c>
      <c r="D1153" s="33">
        <v>0</v>
      </c>
      <c r="E1153" s="33">
        <v>0</v>
      </c>
      <c r="F1153" s="31">
        <v>0.41666666666666669</v>
      </c>
      <c r="G1153" s="31">
        <v>0.91666666666666663</v>
      </c>
    </row>
    <row r="1154" spans="2:7">
      <c r="B1154" s="2">
        <v>46079</v>
      </c>
      <c r="C1154" s="33">
        <v>1</v>
      </c>
      <c r="D1154" s="33">
        <v>0</v>
      </c>
      <c r="E1154" s="33">
        <v>0</v>
      </c>
      <c r="F1154" s="31">
        <v>0.41666666666666669</v>
      </c>
      <c r="G1154" s="31">
        <v>0.91666666666666663</v>
      </c>
    </row>
    <row r="1155" spans="2:7">
      <c r="B1155" s="2">
        <v>46080</v>
      </c>
      <c r="C1155" s="33">
        <v>1</v>
      </c>
      <c r="D1155" s="33">
        <v>0</v>
      </c>
      <c r="E1155" s="33">
        <v>0</v>
      </c>
      <c r="F1155" s="31">
        <v>0.41666666666666669</v>
      </c>
      <c r="G1155" s="31">
        <v>0.91666666666666663</v>
      </c>
    </row>
    <row r="1156" spans="2:7">
      <c r="B1156" s="2">
        <v>46081</v>
      </c>
      <c r="C1156" s="33">
        <v>1</v>
      </c>
      <c r="D1156" s="33">
        <v>0</v>
      </c>
      <c r="E1156" s="33">
        <v>0</v>
      </c>
      <c r="F1156" s="31">
        <v>0.41666666666666669</v>
      </c>
      <c r="G1156" s="31">
        <v>0.91666666666666663</v>
      </c>
    </row>
    <row r="1157" spans="2:7">
      <c r="B1157" s="2">
        <v>46082</v>
      </c>
      <c r="C1157" s="33">
        <v>0</v>
      </c>
      <c r="D1157" s="33">
        <v>1</v>
      </c>
      <c r="E1157" s="33">
        <v>0</v>
      </c>
    </row>
    <row r="1158" spans="2:7">
      <c r="B1158" s="2">
        <v>46083</v>
      </c>
      <c r="C1158" s="33">
        <v>1</v>
      </c>
      <c r="D1158" s="33">
        <v>0</v>
      </c>
      <c r="E1158" s="33">
        <v>1</v>
      </c>
      <c r="F1158" s="31">
        <v>0.41666666666666669</v>
      </c>
      <c r="G1158" s="31">
        <v>0.91666666666666663</v>
      </c>
    </row>
    <row r="1159" spans="2:7">
      <c r="B1159" s="2">
        <v>46084</v>
      </c>
      <c r="C1159" s="33">
        <v>1</v>
      </c>
      <c r="D1159" s="33">
        <v>0</v>
      </c>
      <c r="E1159" s="33">
        <v>0</v>
      </c>
      <c r="F1159" s="31">
        <v>0.41666666666666669</v>
      </c>
      <c r="G1159" s="31">
        <v>0.91666666666666663</v>
      </c>
    </row>
    <row r="1160" spans="2:7">
      <c r="B1160" s="2">
        <v>46085</v>
      </c>
      <c r="C1160" s="33">
        <v>1</v>
      </c>
      <c r="D1160" s="33">
        <v>0</v>
      </c>
      <c r="E1160" s="33">
        <v>0</v>
      </c>
      <c r="F1160" s="31">
        <v>0.41666666666666669</v>
      </c>
      <c r="G1160" s="31">
        <v>0.91666666666666663</v>
      </c>
    </row>
    <row r="1161" spans="2:7">
      <c r="B1161" s="2">
        <v>46086</v>
      </c>
      <c r="C1161" s="33">
        <v>1</v>
      </c>
      <c r="D1161" s="33">
        <v>0</v>
      </c>
      <c r="E1161" s="33">
        <v>0</v>
      </c>
      <c r="F1161" s="31">
        <v>0.41666666666666669</v>
      </c>
      <c r="G1161" s="31">
        <v>0.91666666666666663</v>
      </c>
    </row>
    <row r="1162" spans="2:7">
      <c r="B1162" s="2">
        <v>46087</v>
      </c>
      <c r="C1162" s="33">
        <v>1</v>
      </c>
      <c r="D1162" s="33">
        <v>0</v>
      </c>
      <c r="E1162" s="33">
        <v>0</v>
      </c>
      <c r="F1162" s="31">
        <v>0.41666666666666669</v>
      </c>
      <c r="G1162" s="31">
        <v>0.91666666666666663</v>
      </c>
    </row>
    <row r="1163" spans="2:7">
      <c r="B1163" s="2">
        <v>46088</v>
      </c>
      <c r="C1163" s="33">
        <v>1</v>
      </c>
      <c r="D1163" s="33">
        <v>0</v>
      </c>
      <c r="E1163" s="33">
        <v>0</v>
      </c>
      <c r="F1163" s="31">
        <v>0.41666666666666669</v>
      </c>
      <c r="G1163" s="31">
        <v>0.91666666666666663</v>
      </c>
    </row>
    <row r="1164" spans="2:7">
      <c r="B1164" s="2">
        <v>46089</v>
      </c>
      <c r="C1164" s="33">
        <v>0</v>
      </c>
      <c r="D1164" s="33">
        <v>1</v>
      </c>
      <c r="E1164" s="33">
        <v>0</v>
      </c>
    </row>
    <row r="1165" spans="2:7">
      <c r="B1165" s="2">
        <v>46090</v>
      </c>
      <c r="C1165" s="33">
        <v>1</v>
      </c>
      <c r="D1165" s="33">
        <v>0</v>
      </c>
      <c r="E1165" s="33">
        <v>1</v>
      </c>
      <c r="F1165" s="31">
        <v>0.41666666666666669</v>
      </c>
      <c r="G1165" s="31">
        <v>0.91666666666666663</v>
      </c>
    </row>
    <row r="1166" spans="2:7">
      <c r="B1166" s="2">
        <v>46091</v>
      </c>
      <c r="C1166" s="33">
        <v>1</v>
      </c>
      <c r="D1166" s="33">
        <v>0</v>
      </c>
      <c r="E1166" s="33">
        <v>0</v>
      </c>
      <c r="F1166" s="31">
        <v>0.41666666666666669</v>
      </c>
      <c r="G1166" s="31">
        <v>0.91666666666666663</v>
      </c>
    </row>
    <row r="1167" spans="2:7">
      <c r="B1167" s="2">
        <v>46092</v>
      </c>
      <c r="C1167" s="33">
        <v>1</v>
      </c>
      <c r="D1167" s="33">
        <v>0</v>
      </c>
      <c r="E1167" s="33">
        <v>0</v>
      </c>
      <c r="F1167" s="31">
        <v>0.41666666666666669</v>
      </c>
      <c r="G1167" s="31">
        <v>0.91666666666666663</v>
      </c>
    </row>
    <row r="1168" spans="2:7">
      <c r="B1168" s="2">
        <v>46093</v>
      </c>
      <c r="C1168" s="33">
        <v>1</v>
      </c>
      <c r="D1168" s="33">
        <v>0</v>
      </c>
      <c r="E1168" s="33">
        <v>0</v>
      </c>
      <c r="F1168" s="31">
        <v>0.41666666666666669</v>
      </c>
      <c r="G1168" s="31">
        <v>0.91666666666666663</v>
      </c>
    </row>
    <row r="1169" spans="2:7">
      <c r="B1169" s="2">
        <v>46094</v>
      </c>
      <c r="C1169" s="33">
        <v>1</v>
      </c>
      <c r="D1169" s="33">
        <v>0</v>
      </c>
      <c r="E1169" s="33">
        <v>0</v>
      </c>
      <c r="F1169" s="31">
        <v>0.41666666666666669</v>
      </c>
      <c r="G1169" s="31">
        <v>0.91666666666666663</v>
      </c>
    </row>
    <row r="1170" spans="2:7">
      <c r="B1170" s="2">
        <v>46095</v>
      </c>
      <c r="C1170" s="33">
        <v>1</v>
      </c>
      <c r="D1170" s="33">
        <v>0</v>
      </c>
      <c r="E1170" s="33">
        <v>0</v>
      </c>
      <c r="F1170" s="31">
        <v>0.41666666666666669</v>
      </c>
      <c r="G1170" s="31">
        <v>0.91666666666666663</v>
      </c>
    </row>
    <row r="1171" spans="2:7">
      <c r="B1171" s="2">
        <v>46096</v>
      </c>
      <c r="C1171" s="33">
        <v>0</v>
      </c>
      <c r="D1171" s="33">
        <v>1</v>
      </c>
      <c r="E1171" s="33">
        <v>0</v>
      </c>
    </row>
    <row r="1172" spans="2:7">
      <c r="B1172" s="2">
        <v>46097</v>
      </c>
      <c r="C1172" s="33">
        <v>1</v>
      </c>
      <c r="D1172" s="33">
        <v>0</v>
      </c>
      <c r="E1172" s="33">
        <v>1</v>
      </c>
      <c r="F1172" s="31">
        <v>0.41666666666666669</v>
      </c>
      <c r="G1172" s="31">
        <v>0.91666666666666663</v>
      </c>
    </row>
    <row r="1173" spans="2:7">
      <c r="B1173" s="2">
        <v>46098</v>
      </c>
      <c r="C1173" s="33">
        <v>1</v>
      </c>
      <c r="D1173" s="33">
        <v>0</v>
      </c>
      <c r="E1173" s="33">
        <v>0</v>
      </c>
      <c r="F1173" s="31">
        <v>0.41666666666666669</v>
      </c>
      <c r="G1173" s="31">
        <v>0.91666666666666663</v>
      </c>
    </row>
    <row r="1174" spans="2:7">
      <c r="B1174" s="2">
        <v>46099</v>
      </c>
      <c r="C1174" s="33">
        <v>1</v>
      </c>
      <c r="D1174" s="33">
        <v>0</v>
      </c>
      <c r="E1174" s="33">
        <v>0</v>
      </c>
      <c r="F1174" s="31">
        <v>0.41666666666666669</v>
      </c>
      <c r="G1174" s="31">
        <v>0.91666666666666663</v>
      </c>
    </row>
    <row r="1175" spans="2:7">
      <c r="B1175" s="2">
        <v>46100</v>
      </c>
      <c r="C1175" s="33">
        <v>0</v>
      </c>
      <c r="D1175" s="33">
        <v>1</v>
      </c>
      <c r="E1175" s="33">
        <v>0</v>
      </c>
    </row>
    <row r="1176" spans="2:7">
      <c r="B1176" s="2">
        <v>46101</v>
      </c>
      <c r="C1176" s="33">
        <v>1</v>
      </c>
      <c r="D1176" s="33">
        <v>0</v>
      </c>
      <c r="E1176" s="33">
        <v>1</v>
      </c>
      <c r="F1176" s="31">
        <v>0.41666666666666669</v>
      </c>
      <c r="G1176" s="31">
        <v>0.91666666666666663</v>
      </c>
    </row>
    <row r="1177" spans="2:7">
      <c r="B1177" s="2">
        <v>46102</v>
      </c>
      <c r="C1177" s="33">
        <v>1</v>
      </c>
      <c r="D1177" s="33">
        <v>0</v>
      </c>
      <c r="E1177" s="33">
        <v>0</v>
      </c>
      <c r="F1177" s="31">
        <v>0.41666666666666669</v>
      </c>
      <c r="G1177" s="31">
        <v>0.91666666666666663</v>
      </c>
    </row>
    <row r="1178" spans="2:7">
      <c r="B1178" s="2">
        <v>46103</v>
      </c>
      <c r="C1178" s="33">
        <v>0</v>
      </c>
      <c r="D1178" s="33">
        <v>1</v>
      </c>
      <c r="E1178" s="33">
        <v>0</v>
      </c>
    </row>
    <row r="1179" spans="2:7">
      <c r="B1179" s="2">
        <v>46104</v>
      </c>
      <c r="C1179" s="33">
        <v>1</v>
      </c>
      <c r="D1179" s="33">
        <v>0</v>
      </c>
      <c r="E1179" s="33">
        <v>1</v>
      </c>
      <c r="F1179" s="31">
        <v>0.41666666666666669</v>
      </c>
      <c r="G1179" s="31">
        <v>0.91666666666666663</v>
      </c>
    </row>
    <row r="1180" spans="2:7">
      <c r="B1180" s="2">
        <v>46105</v>
      </c>
      <c r="C1180" s="33">
        <v>1</v>
      </c>
      <c r="D1180" s="33">
        <v>0</v>
      </c>
      <c r="E1180" s="33">
        <v>0</v>
      </c>
      <c r="F1180" s="31">
        <v>0.41666666666666669</v>
      </c>
      <c r="G1180" s="31">
        <v>0.91666666666666663</v>
      </c>
    </row>
    <row r="1181" spans="2:7">
      <c r="B1181" s="2">
        <v>46106</v>
      </c>
      <c r="C1181" s="33">
        <v>1</v>
      </c>
      <c r="D1181" s="33">
        <v>0</v>
      </c>
      <c r="E1181" s="33">
        <v>0</v>
      </c>
      <c r="F1181" s="31">
        <v>0.41666666666666669</v>
      </c>
      <c r="G1181" s="31">
        <v>0.91666666666666663</v>
      </c>
    </row>
    <row r="1182" spans="2:7">
      <c r="B1182" s="2">
        <v>46107</v>
      </c>
      <c r="C1182" s="33">
        <v>1</v>
      </c>
      <c r="D1182" s="33">
        <v>0</v>
      </c>
      <c r="E1182" s="33">
        <v>0</v>
      </c>
      <c r="F1182" s="31">
        <v>0.41666666666666669</v>
      </c>
      <c r="G1182" s="31">
        <v>0.91666666666666663</v>
      </c>
    </row>
    <row r="1183" spans="2:7">
      <c r="B1183" s="2">
        <v>46108</v>
      </c>
      <c r="C1183" s="33">
        <v>1</v>
      </c>
      <c r="D1183" s="33">
        <v>0</v>
      </c>
      <c r="E1183" s="33">
        <v>0</v>
      </c>
      <c r="F1183" s="31">
        <v>0.41666666666666669</v>
      </c>
      <c r="G1183" s="31">
        <v>0.91666666666666663</v>
      </c>
    </row>
    <row r="1184" spans="2:7">
      <c r="B1184" s="2">
        <v>46109</v>
      </c>
      <c r="C1184" s="33">
        <v>1</v>
      </c>
      <c r="D1184" s="33">
        <v>0</v>
      </c>
      <c r="E1184" s="33">
        <v>0</v>
      </c>
      <c r="F1184" s="31">
        <v>0.41666666666666669</v>
      </c>
      <c r="G1184" s="31">
        <v>0.91666666666666663</v>
      </c>
    </row>
    <row r="1185" spans="2:7">
      <c r="B1185" s="2">
        <v>46110</v>
      </c>
      <c r="C1185" s="33">
        <v>1</v>
      </c>
      <c r="D1185" s="33">
        <v>0</v>
      </c>
      <c r="E1185" s="33">
        <v>0</v>
      </c>
      <c r="F1185" s="31">
        <v>0.45833333333333331</v>
      </c>
      <c r="G1185" s="31">
        <v>0.875</v>
      </c>
    </row>
    <row r="1186" spans="2:7">
      <c r="B1186" s="2">
        <v>46111</v>
      </c>
      <c r="C1186" s="33">
        <v>1</v>
      </c>
      <c r="D1186" s="33">
        <v>0</v>
      </c>
      <c r="E1186" s="33">
        <v>0</v>
      </c>
      <c r="F1186" s="31">
        <v>0.41666666666666669</v>
      </c>
      <c r="G1186" s="31">
        <v>0.91666666666666663</v>
      </c>
    </row>
    <row r="1187" spans="2:7">
      <c r="B1187" s="2">
        <v>46112</v>
      </c>
      <c r="C1187" s="33">
        <v>1</v>
      </c>
      <c r="D1187" s="33">
        <v>0</v>
      </c>
      <c r="E1187" s="33">
        <v>0</v>
      </c>
      <c r="F1187" s="31">
        <v>0.41666666666666669</v>
      </c>
      <c r="G1187" s="31">
        <v>0.91666666666666663</v>
      </c>
    </row>
    <row r="1188" spans="2:7">
      <c r="B1188" s="2">
        <v>46113</v>
      </c>
      <c r="C1188" s="33">
        <v>1</v>
      </c>
      <c r="D1188" s="33">
        <v>0</v>
      </c>
      <c r="E1188" s="33">
        <v>0</v>
      </c>
      <c r="F1188" s="31">
        <v>0.41666666666666669</v>
      </c>
      <c r="G1188" s="31">
        <v>0.91666666666666663</v>
      </c>
    </row>
    <row r="1189" spans="2:7">
      <c r="B1189" s="2">
        <v>46114</v>
      </c>
      <c r="C1189" s="33">
        <v>1</v>
      </c>
      <c r="D1189" s="33">
        <v>0</v>
      </c>
      <c r="E1189" s="33">
        <v>0</v>
      </c>
      <c r="F1189" s="31">
        <v>0.41666666666666669</v>
      </c>
      <c r="G1189" s="31">
        <v>0.91666666666666663</v>
      </c>
    </row>
    <row r="1190" spans="2:7">
      <c r="B1190" s="2">
        <v>46115</v>
      </c>
      <c r="C1190" s="33">
        <v>1</v>
      </c>
      <c r="D1190" s="33">
        <v>0</v>
      </c>
      <c r="E1190" s="33">
        <v>0</v>
      </c>
      <c r="F1190" s="31">
        <v>0.45833333333333331</v>
      </c>
      <c r="G1190" s="31">
        <v>0.875</v>
      </c>
    </row>
    <row r="1191" spans="2:7">
      <c r="B1191" s="2">
        <v>46116</v>
      </c>
      <c r="C1191" s="33">
        <v>1</v>
      </c>
      <c r="D1191" s="33">
        <v>0</v>
      </c>
      <c r="E1191" s="33">
        <v>0</v>
      </c>
      <c r="F1191" s="31">
        <v>0.41666666666666669</v>
      </c>
      <c r="G1191" s="31">
        <v>0.91666666666666663</v>
      </c>
    </row>
    <row r="1192" spans="2:7">
      <c r="B1192" s="2">
        <v>46117</v>
      </c>
      <c r="C1192" s="33">
        <v>1</v>
      </c>
      <c r="D1192" s="33">
        <v>0</v>
      </c>
      <c r="E1192" s="33">
        <v>0</v>
      </c>
      <c r="F1192" s="31">
        <v>0.45833333333333331</v>
      </c>
      <c r="G1192" s="31">
        <v>0.875</v>
      </c>
    </row>
    <row r="1193" spans="2:7">
      <c r="B1193" s="2">
        <v>46118</v>
      </c>
      <c r="C1193" s="33">
        <v>0</v>
      </c>
      <c r="D1193" s="33">
        <v>1</v>
      </c>
      <c r="E1193" s="33">
        <v>0</v>
      </c>
    </row>
    <row r="1194" spans="2:7">
      <c r="B1194" s="2">
        <v>46119</v>
      </c>
      <c r="C1194" s="33">
        <v>1</v>
      </c>
      <c r="D1194" s="33">
        <v>0</v>
      </c>
      <c r="E1194" s="33">
        <v>1</v>
      </c>
      <c r="F1194" s="31">
        <v>0.41666666666666669</v>
      </c>
      <c r="G1194" s="31">
        <v>0.91666666666666663</v>
      </c>
    </row>
    <row r="1195" spans="2:7">
      <c r="B1195" s="2">
        <v>46120</v>
      </c>
      <c r="C1195" s="33">
        <v>1</v>
      </c>
      <c r="D1195" s="33">
        <v>0</v>
      </c>
      <c r="E1195" s="33">
        <v>0</v>
      </c>
      <c r="F1195" s="31">
        <v>0.41666666666666669</v>
      </c>
      <c r="G1195" s="31">
        <v>0.91666666666666663</v>
      </c>
    </row>
    <row r="1196" spans="2:7">
      <c r="B1196" s="2">
        <v>46121</v>
      </c>
      <c r="C1196" s="33">
        <v>1</v>
      </c>
      <c r="D1196" s="33">
        <v>0</v>
      </c>
      <c r="E1196" s="33">
        <v>0</v>
      </c>
      <c r="F1196" s="31">
        <v>0.41666666666666669</v>
      </c>
      <c r="G1196" s="31">
        <v>0.91666666666666663</v>
      </c>
    </row>
    <row r="1197" spans="2:7">
      <c r="B1197" s="2">
        <v>46122</v>
      </c>
      <c r="C1197" s="33">
        <v>1</v>
      </c>
      <c r="D1197" s="33">
        <v>0</v>
      </c>
      <c r="E1197" s="33">
        <v>0</v>
      </c>
      <c r="F1197" s="31">
        <v>0.41666666666666669</v>
      </c>
      <c r="G1197" s="31">
        <v>0.91666666666666663</v>
      </c>
    </row>
    <row r="1198" spans="2:7">
      <c r="B1198" s="2">
        <v>46123</v>
      </c>
      <c r="C1198" s="33">
        <v>1</v>
      </c>
      <c r="D1198" s="33">
        <v>0</v>
      </c>
      <c r="E1198" s="33">
        <v>0</v>
      </c>
      <c r="F1198" s="31">
        <v>0.41666666666666669</v>
      </c>
      <c r="G1198" s="31">
        <v>0.91666666666666663</v>
      </c>
    </row>
    <row r="1199" spans="2:7">
      <c r="B1199" s="2">
        <v>46124</v>
      </c>
      <c r="C1199" s="33">
        <v>1</v>
      </c>
      <c r="D1199" s="33">
        <v>0</v>
      </c>
      <c r="E1199" s="33">
        <v>0</v>
      </c>
      <c r="F1199" s="31">
        <v>0.45833333333333331</v>
      </c>
      <c r="G1199" s="31">
        <v>0.875</v>
      </c>
    </row>
    <row r="1200" spans="2:7">
      <c r="B1200" s="2">
        <v>46125</v>
      </c>
      <c r="C1200" s="33">
        <v>0</v>
      </c>
      <c r="D1200" s="33">
        <v>1</v>
      </c>
      <c r="E1200" s="33">
        <v>0</v>
      </c>
    </row>
    <row r="1201" spans="2:7">
      <c r="B1201" s="2">
        <v>46126</v>
      </c>
      <c r="C1201" s="33">
        <v>1</v>
      </c>
      <c r="D1201" s="33">
        <v>0</v>
      </c>
      <c r="E1201" s="33">
        <v>1</v>
      </c>
      <c r="F1201" s="31">
        <v>0.41666666666666669</v>
      </c>
      <c r="G1201" s="31">
        <v>0.91666666666666663</v>
      </c>
    </row>
    <row r="1202" spans="2:7">
      <c r="B1202" s="2">
        <v>46127</v>
      </c>
      <c r="C1202" s="33">
        <v>1</v>
      </c>
      <c r="D1202" s="33">
        <v>0</v>
      </c>
      <c r="E1202" s="33">
        <v>0</v>
      </c>
      <c r="F1202" s="31">
        <v>0.41666666666666669</v>
      </c>
      <c r="G1202" s="31">
        <v>0.91666666666666663</v>
      </c>
    </row>
    <row r="1203" spans="2:7">
      <c r="B1203" s="2">
        <v>46128</v>
      </c>
      <c r="C1203" s="33">
        <v>1</v>
      </c>
      <c r="D1203" s="33">
        <v>0</v>
      </c>
      <c r="E1203" s="33">
        <v>0</v>
      </c>
      <c r="F1203" s="31">
        <v>0.41666666666666669</v>
      </c>
      <c r="G1203" s="31">
        <v>0.91666666666666663</v>
      </c>
    </row>
    <row r="1204" spans="2:7">
      <c r="B1204" s="2">
        <v>46129</v>
      </c>
      <c r="C1204" s="33">
        <v>1</v>
      </c>
      <c r="D1204" s="33">
        <v>0</v>
      </c>
      <c r="E1204" s="33">
        <v>0</v>
      </c>
      <c r="F1204" s="31">
        <v>0.41666666666666669</v>
      </c>
      <c r="G1204" s="31">
        <v>0.91666666666666663</v>
      </c>
    </row>
    <row r="1205" spans="2:7">
      <c r="B1205" s="2">
        <v>46130</v>
      </c>
      <c r="C1205" s="33">
        <v>1</v>
      </c>
      <c r="D1205" s="33">
        <v>0</v>
      </c>
      <c r="E1205" s="33">
        <v>0</v>
      </c>
      <c r="F1205" s="31">
        <v>0.41666666666666669</v>
      </c>
      <c r="G1205" s="31">
        <v>0.91666666666666663</v>
      </c>
    </row>
    <row r="1206" spans="2:7">
      <c r="B1206" s="2">
        <v>46131</v>
      </c>
      <c r="C1206" s="33">
        <v>1</v>
      </c>
      <c r="D1206" s="33">
        <v>0</v>
      </c>
      <c r="E1206" s="33">
        <v>0</v>
      </c>
      <c r="F1206" s="31">
        <v>0.45833333333333331</v>
      </c>
      <c r="G1206" s="31">
        <v>0.875</v>
      </c>
    </row>
    <row r="1207" spans="2:7">
      <c r="B1207" s="2">
        <v>46132</v>
      </c>
      <c r="C1207" s="33">
        <v>1</v>
      </c>
      <c r="D1207" s="33">
        <v>0</v>
      </c>
      <c r="E1207" s="33">
        <v>0</v>
      </c>
      <c r="F1207" s="31">
        <v>0.41666666666666669</v>
      </c>
      <c r="G1207" s="31">
        <v>0.91666666666666663</v>
      </c>
    </row>
    <row r="1208" spans="2:7">
      <c r="B1208" s="2">
        <v>46133</v>
      </c>
      <c r="C1208" s="33">
        <v>1</v>
      </c>
      <c r="D1208" s="33">
        <v>0</v>
      </c>
      <c r="E1208" s="33">
        <v>0</v>
      </c>
      <c r="F1208" s="31">
        <v>0.41666666666666669</v>
      </c>
      <c r="G1208" s="31">
        <v>0.91666666666666663</v>
      </c>
    </row>
    <row r="1209" spans="2:7">
      <c r="B1209" s="2">
        <v>46134</v>
      </c>
      <c r="C1209" s="33">
        <v>1</v>
      </c>
      <c r="D1209" s="33">
        <v>0</v>
      </c>
      <c r="E1209" s="33">
        <v>0</v>
      </c>
      <c r="F1209" s="31">
        <v>0.41666666666666669</v>
      </c>
      <c r="G1209" s="31">
        <v>0.91666666666666663</v>
      </c>
    </row>
    <row r="1210" spans="2:7">
      <c r="B1210" s="2">
        <v>46135</v>
      </c>
      <c r="C1210" s="33">
        <v>1</v>
      </c>
      <c r="D1210" s="33">
        <v>0</v>
      </c>
      <c r="E1210" s="33">
        <v>0</v>
      </c>
      <c r="F1210" s="31">
        <v>0.41666666666666669</v>
      </c>
      <c r="G1210" s="31">
        <v>0.91666666666666663</v>
      </c>
    </row>
    <row r="1211" spans="2:7">
      <c r="B1211" s="2">
        <v>46136</v>
      </c>
      <c r="C1211" s="33">
        <v>1</v>
      </c>
      <c r="D1211" s="33">
        <v>0</v>
      </c>
      <c r="E1211" s="33">
        <v>0</v>
      </c>
      <c r="F1211" s="31">
        <v>0.41666666666666669</v>
      </c>
      <c r="G1211" s="31">
        <v>0.91666666666666663</v>
      </c>
    </row>
    <row r="1212" spans="2:7">
      <c r="B1212" s="2">
        <v>46137</v>
      </c>
      <c r="C1212" s="33">
        <v>1</v>
      </c>
      <c r="D1212" s="33">
        <v>0</v>
      </c>
      <c r="E1212" s="33">
        <v>0</v>
      </c>
      <c r="F1212" s="31">
        <v>0.41666666666666669</v>
      </c>
      <c r="G1212" s="31">
        <v>0.91666666666666663</v>
      </c>
    </row>
    <row r="1213" spans="2:7">
      <c r="B1213" s="2">
        <v>46138</v>
      </c>
      <c r="C1213" s="33">
        <v>1</v>
      </c>
      <c r="D1213" s="33">
        <v>0</v>
      </c>
      <c r="E1213" s="33">
        <v>0</v>
      </c>
      <c r="F1213" s="31">
        <v>0.45833333333333331</v>
      </c>
      <c r="G1213" s="31">
        <v>0.875</v>
      </c>
    </row>
    <row r="1214" spans="2:7">
      <c r="B1214" s="2">
        <v>46139</v>
      </c>
      <c r="C1214" s="33">
        <v>1</v>
      </c>
      <c r="D1214" s="33">
        <v>0</v>
      </c>
      <c r="E1214" s="33">
        <v>0</v>
      </c>
      <c r="F1214" s="31">
        <v>0.41666666666666669</v>
      </c>
      <c r="G1214" s="31">
        <v>0.91666666666666663</v>
      </c>
    </row>
    <row r="1215" spans="2:7">
      <c r="B1215" s="2">
        <v>46140</v>
      </c>
      <c r="C1215" s="33">
        <v>1</v>
      </c>
      <c r="D1215" s="33">
        <v>0</v>
      </c>
      <c r="E1215" s="33">
        <v>0</v>
      </c>
      <c r="F1215" s="31">
        <v>0.41666666666666669</v>
      </c>
      <c r="G1215" s="31">
        <v>0.91666666666666663</v>
      </c>
    </row>
    <row r="1216" spans="2:7">
      <c r="B1216" s="2">
        <v>46141</v>
      </c>
      <c r="C1216" s="33">
        <v>1</v>
      </c>
      <c r="D1216" s="33">
        <v>0</v>
      </c>
      <c r="E1216" s="33">
        <v>0</v>
      </c>
      <c r="F1216" s="31">
        <v>0.41666666666666669</v>
      </c>
      <c r="G1216" s="31">
        <v>0.91666666666666663</v>
      </c>
    </row>
    <row r="1217" spans="2:7">
      <c r="B1217" s="2">
        <v>46142</v>
      </c>
      <c r="C1217" s="33">
        <v>1</v>
      </c>
      <c r="D1217" s="33">
        <v>0</v>
      </c>
      <c r="E1217" s="33">
        <v>0</v>
      </c>
      <c r="F1217" s="31">
        <v>0.41666666666666669</v>
      </c>
      <c r="G1217" s="31">
        <v>0.91666666666666663</v>
      </c>
    </row>
    <row r="1218" spans="2:7">
      <c r="B1218" s="2">
        <v>46143</v>
      </c>
      <c r="C1218" s="33">
        <v>0</v>
      </c>
      <c r="D1218" s="33">
        <v>1</v>
      </c>
      <c r="E1218" s="33">
        <v>0</v>
      </c>
    </row>
    <row r="1219" spans="2:7">
      <c r="B1219" s="2">
        <v>46144</v>
      </c>
      <c r="C1219" s="33">
        <v>1</v>
      </c>
      <c r="D1219" s="33">
        <v>0</v>
      </c>
      <c r="E1219" s="33">
        <v>1</v>
      </c>
      <c r="F1219" s="31">
        <v>0.41666666666666669</v>
      </c>
      <c r="G1219" s="31">
        <v>0.91666666666666663</v>
      </c>
    </row>
    <row r="1220" spans="2:7">
      <c r="B1220" s="2">
        <v>46145</v>
      </c>
      <c r="C1220" s="33">
        <v>0</v>
      </c>
      <c r="D1220" s="33">
        <v>1</v>
      </c>
      <c r="E1220" s="33">
        <v>0</v>
      </c>
    </row>
    <row r="1221" spans="2:7">
      <c r="B1221" s="2">
        <v>46146</v>
      </c>
      <c r="C1221" s="33">
        <v>1</v>
      </c>
      <c r="D1221" s="33">
        <v>0</v>
      </c>
      <c r="E1221" s="33">
        <v>1</v>
      </c>
      <c r="F1221" s="31">
        <v>0.41666666666666669</v>
      </c>
      <c r="G1221" s="31">
        <v>0.91666666666666663</v>
      </c>
    </row>
    <row r="1222" spans="2:7">
      <c r="B1222" s="2">
        <v>46147</v>
      </c>
      <c r="C1222" s="33">
        <v>1</v>
      </c>
      <c r="D1222" s="33">
        <v>0</v>
      </c>
      <c r="E1222" s="33">
        <v>0</v>
      </c>
      <c r="F1222" s="31">
        <v>0.41666666666666669</v>
      </c>
      <c r="G1222" s="31">
        <v>0.91666666666666663</v>
      </c>
    </row>
    <row r="1223" spans="2:7">
      <c r="B1223" s="2">
        <v>46148</v>
      </c>
      <c r="C1223" s="33">
        <v>1</v>
      </c>
      <c r="D1223" s="33">
        <v>0</v>
      </c>
      <c r="E1223" s="33">
        <v>0</v>
      </c>
      <c r="F1223" s="31">
        <v>0.41666666666666669</v>
      </c>
      <c r="G1223" s="31">
        <v>0.91666666666666663</v>
      </c>
    </row>
    <row r="1224" spans="2:7">
      <c r="B1224" s="2">
        <v>46149</v>
      </c>
      <c r="C1224" s="33">
        <v>1</v>
      </c>
      <c r="D1224" s="33">
        <v>0</v>
      </c>
      <c r="E1224" s="33">
        <v>0</v>
      </c>
      <c r="F1224" s="31">
        <v>0.41666666666666669</v>
      </c>
      <c r="G1224" s="31">
        <v>0.91666666666666663</v>
      </c>
    </row>
    <row r="1225" spans="2:7">
      <c r="B1225" s="2">
        <v>46150</v>
      </c>
      <c r="C1225" s="33">
        <v>1</v>
      </c>
      <c r="D1225" s="33">
        <v>0</v>
      </c>
      <c r="E1225" s="33">
        <v>0</v>
      </c>
      <c r="F1225" s="31">
        <v>0.41666666666666669</v>
      </c>
      <c r="G1225" s="31">
        <v>0.91666666666666663</v>
      </c>
    </row>
    <row r="1226" spans="2:7">
      <c r="B1226" s="2">
        <v>46151</v>
      </c>
      <c r="C1226" s="33">
        <v>1</v>
      </c>
      <c r="D1226" s="33">
        <v>0</v>
      </c>
      <c r="E1226" s="33">
        <v>0</v>
      </c>
      <c r="F1226" s="31">
        <v>0.41666666666666669</v>
      </c>
      <c r="G1226" s="31">
        <v>0.91666666666666663</v>
      </c>
    </row>
    <row r="1227" spans="2:7">
      <c r="B1227" s="2">
        <v>46152</v>
      </c>
      <c r="C1227" s="33">
        <v>0</v>
      </c>
      <c r="D1227" s="33">
        <v>1</v>
      </c>
      <c r="E1227" s="33">
        <v>0</v>
      </c>
    </row>
    <row r="1228" spans="2:7">
      <c r="B1228" s="2">
        <v>46153</v>
      </c>
      <c r="C1228" s="33">
        <v>1</v>
      </c>
      <c r="D1228" s="33">
        <v>0</v>
      </c>
      <c r="E1228" s="33">
        <v>1</v>
      </c>
      <c r="F1228" s="31">
        <v>0.41666666666666669</v>
      </c>
      <c r="G1228" s="31">
        <v>0.91666666666666663</v>
      </c>
    </row>
    <row r="1229" spans="2:7">
      <c r="B1229" s="2">
        <v>46154</v>
      </c>
      <c r="C1229" s="33">
        <v>1</v>
      </c>
      <c r="D1229" s="33">
        <v>0</v>
      </c>
      <c r="E1229" s="33">
        <v>0</v>
      </c>
      <c r="F1229" s="31">
        <v>0.41666666666666669</v>
      </c>
      <c r="G1229" s="31">
        <v>0.91666666666666663</v>
      </c>
    </row>
    <row r="1230" spans="2:7">
      <c r="B1230" s="2">
        <v>46155</v>
      </c>
      <c r="C1230" s="33">
        <v>1</v>
      </c>
      <c r="D1230" s="33">
        <v>0</v>
      </c>
      <c r="E1230" s="33">
        <v>0</v>
      </c>
      <c r="F1230" s="31">
        <v>0.41666666666666669</v>
      </c>
      <c r="G1230" s="31">
        <v>0.91666666666666663</v>
      </c>
    </row>
    <row r="1231" spans="2:7">
      <c r="B1231" s="2">
        <v>46156</v>
      </c>
      <c r="C1231" s="33">
        <v>1</v>
      </c>
      <c r="D1231" s="33">
        <v>0</v>
      </c>
      <c r="E1231" s="33">
        <v>0</v>
      </c>
      <c r="F1231" s="31">
        <v>0.41666666666666669</v>
      </c>
      <c r="G1231" s="31">
        <v>0.91666666666666663</v>
      </c>
    </row>
    <row r="1232" spans="2:7">
      <c r="B1232" s="2">
        <v>46157</v>
      </c>
      <c r="C1232" s="33">
        <v>1</v>
      </c>
      <c r="D1232" s="33">
        <v>0</v>
      </c>
      <c r="E1232" s="33">
        <v>0</v>
      </c>
      <c r="F1232" s="31">
        <v>0.41666666666666669</v>
      </c>
      <c r="G1232" s="31">
        <v>0.91666666666666663</v>
      </c>
    </row>
    <row r="1233" spans="2:7">
      <c r="B1233" s="2">
        <v>46158</v>
      </c>
      <c r="C1233" s="33">
        <v>1</v>
      </c>
      <c r="D1233" s="33">
        <v>0</v>
      </c>
      <c r="E1233" s="33">
        <v>0</v>
      </c>
      <c r="F1233" s="31">
        <v>0.41666666666666669</v>
      </c>
      <c r="G1233" s="31">
        <v>0.91666666666666663</v>
      </c>
    </row>
    <row r="1234" spans="2:7">
      <c r="B1234" s="2">
        <v>46159</v>
      </c>
      <c r="C1234" s="33">
        <v>0</v>
      </c>
      <c r="D1234" s="33">
        <v>1</v>
      </c>
      <c r="E1234" s="33">
        <v>0</v>
      </c>
    </row>
    <row r="1235" spans="2:7">
      <c r="B1235" s="2">
        <v>46160</v>
      </c>
      <c r="C1235" s="33">
        <v>1</v>
      </c>
      <c r="D1235" s="33">
        <v>0</v>
      </c>
      <c r="E1235" s="33">
        <v>1</v>
      </c>
      <c r="F1235" s="31">
        <v>0.41666666666666669</v>
      </c>
      <c r="G1235" s="31">
        <v>0.91666666666666663</v>
      </c>
    </row>
    <row r="1236" spans="2:7">
      <c r="B1236" s="2">
        <v>46161</v>
      </c>
      <c r="C1236" s="33">
        <v>1</v>
      </c>
      <c r="D1236" s="33">
        <v>0</v>
      </c>
      <c r="E1236" s="33">
        <v>0</v>
      </c>
      <c r="F1236" s="31">
        <v>0.41666666666666669</v>
      </c>
      <c r="G1236" s="31">
        <v>0.91666666666666663</v>
      </c>
    </row>
    <row r="1237" spans="2:7">
      <c r="B1237" s="2">
        <v>46162</v>
      </c>
      <c r="C1237" s="33">
        <v>1</v>
      </c>
      <c r="D1237" s="33">
        <v>0</v>
      </c>
      <c r="E1237" s="33">
        <v>0</v>
      </c>
      <c r="F1237" s="31">
        <v>0.41666666666666669</v>
      </c>
      <c r="G1237" s="31">
        <v>0.91666666666666663</v>
      </c>
    </row>
    <row r="1238" spans="2:7">
      <c r="B1238" s="2">
        <v>46163</v>
      </c>
      <c r="C1238" s="33">
        <v>1</v>
      </c>
      <c r="D1238" s="33">
        <v>0</v>
      </c>
      <c r="E1238" s="33">
        <v>0</v>
      </c>
      <c r="F1238" s="31">
        <v>0.41666666666666669</v>
      </c>
      <c r="G1238" s="31">
        <v>0.91666666666666663</v>
      </c>
    </row>
    <row r="1239" spans="2:7">
      <c r="B1239" s="2">
        <v>46164</v>
      </c>
      <c r="C1239" s="33">
        <v>1</v>
      </c>
      <c r="D1239" s="33">
        <v>0</v>
      </c>
      <c r="E1239" s="33">
        <v>0</v>
      </c>
      <c r="F1239" s="31">
        <v>0.41666666666666669</v>
      </c>
      <c r="G1239" s="31">
        <v>0.91666666666666663</v>
      </c>
    </row>
    <row r="1240" spans="2:7">
      <c r="B1240" s="2">
        <v>46165</v>
      </c>
      <c r="C1240" s="33">
        <v>1</v>
      </c>
      <c r="D1240" s="33">
        <v>0</v>
      </c>
      <c r="E1240" s="33">
        <v>0</v>
      </c>
      <c r="F1240" s="31">
        <v>0.41666666666666669</v>
      </c>
      <c r="G1240" s="31">
        <v>0.91666666666666663</v>
      </c>
    </row>
    <row r="1241" spans="2:7">
      <c r="B1241" s="2">
        <v>46166</v>
      </c>
      <c r="C1241" s="33">
        <v>0</v>
      </c>
      <c r="D1241" s="33">
        <v>1</v>
      </c>
      <c r="E1241" s="33">
        <v>0</v>
      </c>
    </row>
    <row r="1242" spans="2:7">
      <c r="B1242" s="2">
        <v>46167</v>
      </c>
      <c r="C1242" s="33">
        <v>1</v>
      </c>
      <c r="D1242" s="33">
        <v>0</v>
      </c>
      <c r="E1242" s="33">
        <v>1</v>
      </c>
      <c r="F1242" s="31">
        <v>0.41666666666666669</v>
      </c>
      <c r="G1242" s="31">
        <v>0.91666666666666663</v>
      </c>
    </row>
    <row r="1243" spans="2:7">
      <c r="B1243" s="2">
        <v>46168</v>
      </c>
      <c r="C1243" s="33">
        <v>1</v>
      </c>
      <c r="D1243" s="33">
        <v>0</v>
      </c>
      <c r="E1243" s="33">
        <v>0</v>
      </c>
      <c r="F1243" s="31">
        <v>0.41666666666666669</v>
      </c>
      <c r="G1243" s="31">
        <v>0.91666666666666663</v>
      </c>
    </row>
    <row r="1244" spans="2:7">
      <c r="B1244" s="2">
        <v>46169</v>
      </c>
      <c r="C1244" s="33">
        <v>1</v>
      </c>
      <c r="D1244" s="33">
        <v>0</v>
      </c>
      <c r="E1244" s="33">
        <v>0</v>
      </c>
      <c r="F1244" s="31">
        <v>0.41666666666666669</v>
      </c>
      <c r="G1244" s="31">
        <v>0.91666666666666663</v>
      </c>
    </row>
    <row r="1245" spans="2:7">
      <c r="B1245" s="2">
        <v>46170</v>
      </c>
      <c r="C1245" s="33">
        <v>1</v>
      </c>
      <c r="D1245" s="33">
        <v>0</v>
      </c>
      <c r="E1245" s="33">
        <v>0</v>
      </c>
      <c r="F1245" s="31">
        <v>0.41666666666666669</v>
      </c>
      <c r="G1245" s="31">
        <v>0.91666666666666663</v>
      </c>
    </row>
    <row r="1246" spans="2:7">
      <c r="B1246" s="2">
        <v>46171</v>
      </c>
      <c r="C1246" s="33">
        <v>1</v>
      </c>
      <c r="D1246" s="33">
        <v>0</v>
      </c>
      <c r="E1246" s="33">
        <v>0</v>
      </c>
      <c r="F1246" s="31">
        <v>0.41666666666666669</v>
      </c>
      <c r="G1246" s="31">
        <v>0.91666666666666663</v>
      </c>
    </row>
    <row r="1247" spans="2:7">
      <c r="B1247" s="2">
        <v>46172</v>
      </c>
      <c r="C1247" s="33">
        <v>1</v>
      </c>
      <c r="D1247" s="33">
        <v>0</v>
      </c>
      <c r="E1247" s="33">
        <v>0</v>
      </c>
      <c r="F1247" s="31">
        <v>0.41666666666666669</v>
      </c>
      <c r="G1247" s="31">
        <v>0.91666666666666663</v>
      </c>
    </row>
    <row r="1248" spans="2:7">
      <c r="B1248" s="2">
        <v>46173</v>
      </c>
      <c r="C1248" s="33">
        <v>0</v>
      </c>
      <c r="D1248" s="33">
        <v>1</v>
      </c>
      <c r="E1248" s="33">
        <v>0</v>
      </c>
    </row>
    <row r="1249" spans="2:7">
      <c r="B1249" s="2">
        <v>46174</v>
      </c>
      <c r="C1249" s="33">
        <v>1</v>
      </c>
      <c r="D1249" s="33">
        <v>0</v>
      </c>
      <c r="E1249" s="33">
        <v>1</v>
      </c>
      <c r="F1249" s="31">
        <v>0.41666666666666669</v>
      </c>
      <c r="G1249" s="31">
        <v>0.91666666666666663</v>
      </c>
    </row>
    <row r="1250" spans="2:7">
      <c r="B1250" s="2">
        <v>46175</v>
      </c>
      <c r="C1250" s="33">
        <v>1</v>
      </c>
      <c r="D1250" s="33">
        <v>0</v>
      </c>
      <c r="E1250" s="33">
        <v>0</v>
      </c>
      <c r="F1250" s="31">
        <v>0.41666666666666669</v>
      </c>
      <c r="G1250" s="31">
        <v>0.91666666666666663</v>
      </c>
    </row>
    <row r="1251" spans="2:7">
      <c r="B1251" s="2">
        <v>46176</v>
      </c>
      <c r="C1251" s="33">
        <v>1</v>
      </c>
      <c r="D1251" s="33">
        <v>0</v>
      </c>
      <c r="E1251" s="33">
        <v>0</v>
      </c>
      <c r="F1251" s="31">
        <v>0.41666666666666669</v>
      </c>
      <c r="G1251" s="31">
        <v>0.91666666666666663</v>
      </c>
    </row>
    <row r="1252" spans="2:7">
      <c r="B1252" s="2">
        <v>46177</v>
      </c>
      <c r="C1252" s="33">
        <v>1</v>
      </c>
      <c r="D1252" s="33">
        <v>0</v>
      </c>
      <c r="E1252" s="33">
        <v>0</v>
      </c>
      <c r="F1252" s="31">
        <v>0.41666666666666669</v>
      </c>
      <c r="G1252" s="31">
        <v>0.91666666666666663</v>
      </c>
    </row>
    <row r="1253" spans="2:7">
      <c r="B1253" s="2">
        <v>46178</v>
      </c>
      <c r="C1253" s="33">
        <v>1</v>
      </c>
      <c r="D1253" s="33">
        <v>0</v>
      </c>
      <c r="E1253" s="33">
        <v>0</v>
      </c>
      <c r="F1253" s="31">
        <v>0.41666666666666669</v>
      </c>
      <c r="G1253" s="31">
        <v>0.91666666666666663</v>
      </c>
    </row>
    <row r="1254" spans="2:7">
      <c r="B1254" s="2">
        <v>46179</v>
      </c>
      <c r="C1254" s="33">
        <v>1</v>
      </c>
      <c r="D1254" s="33">
        <v>0</v>
      </c>
      <c r="E1254" s="33">
        <v>0</v>
      </c>
      <c r="F1254" s="31">
        <v>0.41666666666666669</v>
      </c>
      <c r="G1254" s="31">
        <v>0.91666666666666663</v>
      </c>
    </row>
    <row r="1255" spans="2:7">
      <c r="B1255" s="2">
        <v>46180</v>
      </c>
      <c r="C1255" s="33">
        <v>0</v>
      </c>
      <c r="D1255" s="33">
        <v>1</v>
      </c>
      <c r="E1255" s="33">
        <v>0</v>
      </c>
    </row>
    <row r="1256" spans="2:7">
      <c r="B1256" s="2">
        <v>46181</v>
      </c>
      <c r="C1256" s="33">
        <v>1</v>
      </c>
      <c r="D1256" s="33">
        <v>0</v>
      </c>
      <c r="E1256" s="33">
        <v>1</v>
      </c>
      <c r="F1256" s="31">
        <v>0.41666666666666669</v>
      </c>
      <c r="G1256" s="31">
        <v>0.91666666666666663</v>
      </c>
    </row>
    <row r="1257" spans="2:7">
      <c r="B1257" s="2">
        <v>46182</v>
      </c>
      <c r="C1257" s="33">
        <v>1</v>
      </c>
      <c r="D1257" s="33">
        <v>0</v>
      </c>
      <c r="E1257" s="33">
        <v>0</v>
      </c>
      <c r="F1257" s="31">
        <v>0.41666666666666669</v>
      </c>
      <c r="G1257" s="31">
        <v>0.91666666666666663</v>
      </c>
    </row>
    <row r="1258" spans="2:7">
      <c r="B1258" s="2">
        <v>46183</v>
      </c>
      <c r="C1258" s="33">
        <v>1</v>
      </c>
      <c r="D1258" s="33">
        <v>0</v>
      </c>
      <c r="E1258" s="33">
        <v>0</v>
      </c>
      <c r="F1258" s="31">
        <v>0.41666666666666669</v>
      </c>
      <c r="G1258" s="31">
        <v>0.91666666666666663</v>
      </c>
    </row>
    <row r="1259" spans="2:7">
      <c r="B1259" s="2">
        <v>46184</v>
      </c>
      <c r="C1259" s="33">
        <v>1</v>
      </c>
      <c r="D1259" s="33">
        <v>0</v>
      </c>
      <c r="E1259" s="33">
        <v>0</v>
      </c>
      <c r="F1259" s="31">
        <v>0.41666666666666669</v>
      </c>
      <c r="G1259" s="31">
        <v>0.91666666666666663</v>
      </c>
    </row>
    <row r="1260" spans="2:7">
      <c r="B1260" s="2">
        <v>46185</v>
      </c>
      <c r="C1260" s="33">
        <v>1</v>
      </c>
      <c r="D1260" s="33">
        <v>0</v>
      </c>
      <c r="E1260" s="33">
        <v>0</v>
      </c>
      <c r="F1260" s="31">
        <v>0.41666666666666669</v>
      </c>
      <c r="G1260" s="31">
        <v>0.91666666666666663</v>
      </c>
    </row>
    <row r="1261" spans="2:7">
      <c r="B1261" s="2">
        <v>46186</v>
      </c>
      <c r="C1261" s="33">
        <v>1</v>
      </c>
      <c r="D1261" s="33">
        <v>0</v>
      </c>
      <c r="E1261" s="33">
        <v>0</v>
      </c>
      <c r="F1261" s="31">
        <v>0.41666666666666669</v>
      </c>
      <c r="G1261" s="31">
        <v>0.91666666666666663</v>
      </c>
    </row>
    <row r="1262" spans="2:7">
      <c r="B1262" s="2">
        <v>46187</v>
      </c>
      <c r="C1262" s="33">
        <v>0</v>
      </c>
      <c r="D1262" s="33">
        <v>1</v>
      </c>
      <c r="E1262" s="33">
        <v>0</v>
      </c>
    </row>
    <row r="1263" spans="2:7">
      <c r="B1263" s="2">
        <v>46188</v>
      </c>
      <c r="C1263" s="33">
        <v>1</v>
      </c>
      <c r="D1263" s="33">
        <v>0</v>
      </c>
      <c r="E1263" s="33">
        <v>1</v>
      </c>
      <c r="F1263" s="31">
        <v>0.41666666666666669</v>
      </c>
      <c r="G1263" s="31">
        <v>0.91666666666666663</v>
      </c>
    </row>
    <row r="1264" spans="2:7">
      <c r="B1264" s="2">
        <v>46189</v>
      </c>
      <c r="C1264" s="33">
        <v>1</v>
      </c>
      <c r="D1264" s="33">
        <v>0</v>
      </c>
      <c r="E1264" s="33">
        <v>0</v>
      </c>
      <c r="F1264" s="31">
        <v>0.41666666666666669</v>
      </c>
      <c r="G1264" s="31">
        <v>0.91666666666666663</v>
      </c>
    </row>
    <row r="1265" spans="2:7">
      <c r="B1265" s="2">
        <v>46190</v>
      </c>
      <c r="C1265" s="33">
        <v>1</v>
      </c>
      <c r="D1265" s="33">
        <v>0</v>
      </c>
      <c r="E1265" s="33">
        <v>0</v>
      </c>
      <c r="F1265" s="31">
        <v>0.41666666666666669</v>
      </c>
      <c r="G1265" s="31">
        <v>0.91666666666666663</v>
      </c>
    </row>
    <row r="1266" spans="2:7">
      <c r="B1266" s="2">
        <v>46191</v>
      </c>
      <c r="C1266" s="33">
        <v>1</v>
      </c>
      <c r="D1266" s="33">
        <v>0</v>
      </c>
      <c r="E1266" s="33">
        <v>0</v>
      </c>
      <c r="F1266" s="31">
        <v>0.41666666666666669</v>
      </c>
      <c r="G1266" s="31">
        <v>0.91666666666666663</v>
      </c>
    </row>
    <row r="1267" spans="2:7">
      <c r="B1267" s="2">
        <v>46192</v>
      </c>
      <c r="C1267" s="33">
        <v>1</v>
      </c>
      <c r="D1267" s="33">
        <v>0</v>
      </c>
      <c r="E1267" s="33">
        <v>0</v>
      </c>
      <c r="F1267" s="31">
        <v>0.41666666666666669</v>
      </c>
      <c r="G1267" s="31">
        <v>0.91666666666666663</v>
      </c>
    </row>
    <row r="1268" spans="2:7">
      <c r="B1268" s="2">
        <v>46193</v>
      </c>
      <c r="C1268" s="33">
        <v>1</v>
      </c>
      <c r="D1268" s="33">
        <v>0</v>
      </c>
      <c r="E1268" s="33">
        <v>0</v>
      </c>
      <c r="F1268" s="31">
        <v>0.41666666666666669</v>
      </c>
      <c r="G1268" s="31">
        <v>0.91666666666666663</v>
      </c>
    </row>
    <row r="1269" spans="2:7">
      <c r="B1269" s="2">
        <v>46194</v>
      </c>
      <c r="C1269" s="33">
        <v>1</v>
      </c>
      <c r="D1269" s="33">
        <v>0</v>
      </c>
      <c r="E1269" s="33">
        <v>0</v>
      </c>
      <c r="F1269" s="31">
        <v>0.45833333333333331</v>
      </c>
      <c r="G1269" s="31">
        <v>0.875</v>
      </c>
    </row>
    <row r="1270" spans="2:7">
      <c r="B1270" s="2">
        <v>46195</v>
      </c>
      <c r="C1270" s="33">
        <v>1</v>
      </c>
      <c r="D1270" s="33">
        <v>0</v>
      </c>
      <c r="E1270" s="33">
        <v>0</v>
      </c>
      <c r="F1270" s="31">
        <v>0.41666666666666669</v>
      </c>
      <c r="G1270" s="31">
        <v>0.91666666666666663</v>
      </c>
    </row>
    <row r="1271" spans="2:7">
      <c r="B1271" s="2">
        <v>46196</v>
      </c>
      <c r="C1271" s="33">
        <v>1</v>
      </c>
      <c r="D1271" s="33">
        <v>0</v>
      </c>
      <c r="E1271" s="33">
        <v>0</v>
      </c>
      <c r="F1271" s="31">
        <v>0.41666666666666669</v>
      </c>
      <c r="G1271" s="31">
        <v>0.91666666666666663</v>
      </c>
    </row>
    <row r="1272" spans="2:7">
      <c r="B1272" s="2">
        <v>46197</v>
      </c>
      <c r="C1272" s="33">
        <v>1</v>
      </c>
      <c r="D1272" s="33">
        <v>0</v>
      </c>
      <c r="E1272" s="33">
        <v>0</v>
      </c>
      <c r="F1272" s="31">
        <v>0.45833333333333331</v>
      </c>
      <c r="G1272" s="31">
        <v>0.875</v>
      </c>
    </row>
    <row r="1273" spans="2:7">
      <c r="B1273" s="2">
        <v>46198</v>
      </c>
      <c r="C1273" s="33">
        <v>1</v>
      </c>
      <c r="D1273" s="33">
        <v>0</v>
      </c>
      <c r="E1273" s="33">
        <v>0</v>
      </c>
      <c r="F1273" s="31">
        <v>0.41666666666666669</v>
      </c>
      <c r="G1273" s="31">
        <v>0.91666666666666663</v>
      </c>
    </row>
    <row r="1274" spans="2:7">
      <c r="B1274" s="2">
        <v>46199</v>
      </c>
      <c r="C1274" s="33">
        <v>1</v>
      </c>
      <c r="D1274" s="33">
        <v>0</v>
      </c>
      <c r="E1274" s="33">
        <v>0</v>
      </c>
      <c r="F1274" s="31">
        <v>0.41666666666666669</v>
      </c>
      <c r="G1274" s="31">
        <v>0.91666666666666663</v>
      </c>
    </row>
    <row r="1275" spans="2:7">
      <c r="B1275" s="2">
        <v>46200</v>
      </c>
      <c r="C1275" s="33">
        <v>1</v>
      </c>
      <c r="D1275" s="33">
        <v>0</v>
      </c>
      <c r="E1275" s="33">
        <v>0</v>
      </c>
      <c r="F1275" s="31">
        <v>0.41666666666666669</v>
      </c>
      <c r="G1275" s="31">
        <v>0.91666666666666663</v>
      </c>
    </row>
    <row r="1276" spans="2:7">
      <c r="B1276" s="2">
        <v>46201</v>
      </c>
      <c r="C1276" s="33">
        <v>1</v>
      </c>
      <c r="D1276" s="33">
        <v>0</v>
      </c>
      <c r="E1276" s="33">
        <v>0</v>
      </c>
      <c r="F1276" s="31">
        <v>0.45833333333333331</v>
      </c>
      <c r="G1276" s="31">
        <v>0.875</v>
      </c>
    </row>
    <row r="1277" spans="2:7">
      <c r="B1277" s="2">
        <v>46202</v>
      </c>
      <c r="C1277" s="33">
        <v>1</v>
      </c>
      <c r="D1277" s="33">
        <v>0</v>
      </c>
      <c r="E1277" s="33">
        <v>0</v>
      </c>
      <c r="F1277" s="31">
        <v>0.41666666666666669</v>
      </c>
      <c r="G1277" s="31">
        <v>0.91666666666666663</v>
      </c>
    </row>
    <row r="1278" spans="2:7">
      <c r="B1278" s="2">
        <v>46203</v>
      </c>
      <c r="C1278" s="33">
        <v>1</v>
      </c>
      <c r="D1278" s="33">
        <v>0</v>
      </c>
      <c r="E1278" s="33">
        <v>0</v>
      </c>
      <c r="F1278" s="31">
        <v>0.41666666666666669</v>
      </c>
      <c r="G1278" s="31">
        <v>0.91666666666666663</v>
      </c>
    </row>
    <row r="1279" spans="2:7">
      <c r="B1279" s="2">
        <v>46204</v>
      </c>
      <c r="C1279" s="33">
        <v>1</v>
      </c>
      <c r="D1279" s="33">
        <v>0</v>
      </c>
      <c r="E1279" s="33">
        <v>0</v>
      </c>
      <c r="F1279" s="31">
        <v>0.41666666666666669</v>
      </c>
      <c r="G1279" s="31">
        <v>0.91666666666666663</v>
      </c>
    </row>
    <row r="1280" spans="2:7">
      <c r="B1280" s="2">
        <v>46205</v>
      </c>
      <c r="C1280" s="33">
        <v>1</v>
      </c>
      <c r="D1280" s="33">
        <v>0</v>
      </c>
      <c r="E1280" s="33">
        <v>0</v>
      </c>
      <c r="F1280" s="31">
        <v>0.41666666666666669</v>
      </c>
      <c r="G1280" s="31">
        <v>0.91666666666666663</v>
      </c>
    </row>
    <row r="1281" spans="2:7">
      <c r="B1281" s="2">
        <v>46206</v>
      </c>
      <c r="C1281" s="33">
        <v>1</v>
      </c>
      <c r="D1281" s="33">
        <v>0</v>
      </c>
      <c r="E1281" s="33">
        <v>0</v>
      </c>
      <c r="F1281" s="31">
        <v>0.41666666666666669</v>
      </c>
      <c r="G1281" s="31">
        <v>0.91666666666666663</v>
      </c>
    </row>
    <row r="1282" spans="2:7">
      <c r="B1282" s="2">
        <v>46207</v>
      </c>
      <c r="C1282" s="33">
        <v>1</v>
      </c>
      <c r="D1282" s="33">
        <v>0</v>
      </c>
      <c r="E1282" s="33">
        <v>0</v>
      </c>
      <c r="F1282" s="31">
        <v>0.41666666666666669</v>
      </c>
      <c r="G1282" s="31">
        <v>0.91666666666666663</v>
      </c>
    </row>
    <row r="1283" spans="2:7">
      <c r="B1283" s="2">
        <v>46208</v>
      </c>
      <c r="C1283" s="33">
        <v>1</v>
      </c>
      <c r="D1283" s="33">
        <v>0</v>
      </c>
      <c r="E1283" s="33">
        <v>0</v>
      </c>
      <c r="F1283" s="31">
        <v>0.45833333333333331</v>
      </c>
      <c r="G1283" s="31">
        <v>0.875</v>
      </c>
    </row>
    <row r="1284" spans="2:7">
      <c r="B1284" s="2">
        <v>46209</v>
      </c>
      <c r="C1284" s="33">
        <v>1</v>
      </c>
      <c r="D1284" s="33">
        <v>0</v>
      </c>
      <c r="E1284" s="33">
        <v>0</v>
      </c>
      <c r="F1284" s="31">
        <v>0.41666666666666669</v>
      </c>
      <c r="G1284" s="31">
        <v>0.91666666666666663</v>
      </c>
    </row>
    <row r="1285" spans="2:7">
      <c r="B1285" s="2">
        <v>46210</v>
      </c>
      <c r="C1285" s="33">
        <v>1</v>
      </c>
      <c r="D1285" s="33">
        <v>0</v>
      </c>
      <c r="E1285" s="33">
        <v>0</v>
      </c>
      <c r="F1285" s="31">
        <v>0.41666666666666669</v>
      </c>
      <c r="G1285" s="31">
        <v>0.91666666666666663</v>
      </c>
    </row>
    <row r="1286" spans="2:7">
      <c r="B1286" s="2">
        <v>46211</v>
      </c>
      <c r="C1286" s="33">
        <v>1</v>
      </c>
      <c r="D1286" s="33">
        <v>0</v>
      </c>
      <c r="E1286" s="33">
        <v>0</v>
      </c>
      <c r="F1286" s="31">
        <v>0.41666666666666669</v>
      </c>
      <c r="G1286" s="31">
        <v>0.91666666666666663</v>
      </c>
    </row>
    <row r="1287" spans="2:7">
      <c r="B1287" s="2">
        <v>46212</v>
      </c>
      <c r="C1287" s="33">
        <v>1</v>
      </c>
      <c r="D1287" s="33">
        <v>0</v>
      </c>
      <c r="E1287" s="33">
        <v>0</v>
      </c>
      <c r="F1287" s="31">
        <v>0.41666666666666669</v>
      </c>
      <c r="G1287" s="31">
        <v>0.91666666666666663</v>
      </c>
    </row>
    <row r="1288" spans="2:7">
      <c r="B1288" s="2">
        <v>46213</v>
      </c>
      <c r="C1288" s="33">
        <v>1</v>
      </c>
      <c r="D1288" s="33">
        <v>0</v>
      </c>
      <c r="E1288" s="33">
        <v>0</v>
      </c>
      <c r="F1288" s="31">
        <v>0.41666666666666669</v>
      </c>
      <c r="G1288" s="31">
        <v>0.91666666666666663</v>
      </c>
    </row>
    <row r="1289" spans="2:7">
      <c r="B1289" s="2">
        <v>46214</v>
      </c>
      <c r="C1289" s="33">
        <v>1</v>
      </c>
      <c r="D1289" s="33">
        <v>0</v>
      </c>
      <c r="E1289" s="33">
        <v>0</v>
      </c>
      <c r="F1289" s="31">
        <v>0.41666666666666669</v>
      </c>
      <c r="G1289" s="31">
        <v>0.91666666666666663</v>
      </c>
    </row>
    <row r="1290" spans="2:7">
      <c r="B1290" s="2">
        <v>46215</v>
      </c>
      <c r="C1290" s="33">
        <v>1</v>
      </c>
      <c r="D1290" s="33">
        <v>0</v>
      </c>
      <c r="E1290" s="33">
        <v>0</v>
      </c>
      <c r="F1290" s="31">
        <v>0.45833333333333331</v>
      </c>
      <c r="G1290" s="31">
        <v>0.875</v>
      </c>
    </row>
    <row r="1291" spans="2:7">
      <c r="B1291" s="2">
        <v>46216</v>
      </c>
      <c r="C1291" s="33">
        <v>1</v>
      </c>
      <c r="D1291" s="33">
        <v>0</v>
      </c>
      <c r="E1291" s="33">
        <v>0</v>
      </c>
      <c r="F1291" s="31">
        <v>0.41666666666666669</v>
      </c>
      <c r="G1291" s="31">
        <v>0.91666666666666663</v>
      </c>
    </row>
    <row r="1292" spans="2:7">
      <c r="B1292" s="2">
        <v>46217</v>
      </c>
      <c r="C1292" s="33">
        <v>1</v>
      </c>
      <c r="D1292" s="33">
        <v>0</v>
      </c>
      <c r="E1292" s="33">
        <v>0</v>
      </c>
      <c r="F1292" s="31">
        <v>0.41666666666666669</v>
      </c>
      <c r="G1292" s="31">
        <v>0.91666666666666663</v>
      </c>
    </row>
    <row r="1293" spans="2:7">
      <c r="B1293" s="2">
        <v>46218</v>
      </c>
      <c r="C1293" s="33">
        <v>1</v>
      </c>
      <c r="D1293" s="33">
        <v>0</v>
      </c>
      <c r="E1293" s="33">
        <v>0</v>
      </c>
      <c r="F1293" s="31">
        <v>0.41666666666666669</v>
      </c>
      <c r="G1293" s="31">
        <v>0.91666666666666663</v>
      </c>
    </row>
    <row r="1294" spans="2:7">
      <c r="B1294" s="2">
        <v>46219</v>
      </c>
      <c r="C1294" s="33">
        <v>1</v>
      </c>
      <c r="D1294" s="33">
        <v>0</v>
      </c>
      <c r="E1294" s="33">
        <v>0</v>
      </c>
      <c r="F1294" s="31">
        <v>0.41666666666666669</v>
      </c>
      <c r="G1294" s="31">
        <v>0.91666666666666663</v>
      </c>
    </row>
    <row r="1295" spans="2:7">
      <c r="B1295" s="2">
        <v>46220</v>
      </c>
      <c r="C1295" s="33">
        <v>1</v>
      </c>
      <c r="D1295" s="33">
        <v>0</v>
      </c>
      <c r="E1295" s="33">
        <v>0</v>
      </c>
      <c r="F1295" s="31">
        <v>0.41666666666666669</v>
      </c>
      <c r="G1295" s="31">
        <v>0.91666666666666663</v>
      </c>
    </row>
    <row r="1296" spans="2:7">
      <c r="B1296" s="2">
        <v>46221</v>
      </c>
      <c r="C1296" s="33">
        <v>1</v>
      </c>
      <c r="D1296" s="33">
        <v>0</v>
      </c>
      <c r="E1296" s="33">
        <v>0</v>
      </c>
      <c r="F1296" s="31">
        <v>0.41666666666666669</v>
      </c>
      <c r="G1296" s="31">
        <v>0.91666666666666663</v>
      </c>
    </row>
    <row r="1297" spans="2:7">
      <c r="B1297" s="2">
        <v>46222</v>
      </c>
      <c r="C1297" s="33">
        <v>1</v>
      </c>
      <c r="D1297" s="33">
        <v>0</v>
      </c>
      <c r="E1297" s="33">
        <v>0</v>
      </c>
      <c r="F1297" s="31">
        <v>0.45833333333333331</v>
      </c>
      <c r="G1297" s="31">
        <v>0.875</v>
      </c>
    </row>
    <row r="1298" spans="2:7">
      <c r="B1298" s="2">
        <v>46223</v>
      </c>
      <c r="C1298" s="33">
        <v>1</v>
      </c>
      <c r="D1298" s="33">
        <v>0</v>
      </c>
      <c r="E1298" s="33">
        <v>0</v>
      </c>
      <c r="F1298" s="31">
        <v>0.41666666666666669</v>
      </c>
      <c r="G1298" s="31">
        <v>0.91666666666666663</v>
      </c>
    </row>
    <row r="1299" spans="2:7">
      <c r="B1299" s="2">
        <v>46224</v>
      </c>
      <c r="C1299" s="33">
        <v>1</v>
      </c>
      <c r="D1299" s="33">
        <v>0</v>
      </c>
      <c r="E1299" s="33">
        <v>0</v>
      </c>
      <c r="F1299" s="31">
        <v>0.41666666666666669</v>
      </c>
      <c r="G1299" s="31">
        <v>0.91666666666666663</v>
      </c>
    </row>
    <row r="1300" spans="2:7">
      <c r="B1300" s="2">
        <v>46225</v>
      </c>
      <c r="C1300" s="33">
        <v>1</v>
      </c>
      <c r="D1300" s="33">
        <v>0</v>
      </c>
      <c r="E1300" s="33">
        <v>0</v>
      </c>
      <c r="F1300" s="31">
        <v>0.41666666666666669</v>
      </c>
      <c r="G1300" s="31">
        <v>0.91666666666666663</v>
      </c>
    </row>
    <row r="1301" spans="2:7">
      <c r="B1301" s="2">
        <v>46226</v>
      </c>
      <c r="C1301" s="33">
        <v>1</v>
      </c>
      <c r="D1301" s="33">
        <v>0</v>
      </c>
      <c r="E1301" s="33">
        <v>0</v>
      </c>
      <c r="F1301" s="31">
        <v>0.41666666666666669</v>
      </c>
      <c r="G1301" s="31">
        <v>0.91666666666666663</v>
      </c>
    </row>
    <row r="1302" spans="2:7">
      <c r="B1302" s="2">
        <v>46227</v>
      </c>
      <c r="C1302" s="33">
        <v>1</v>
      </c>
      <c r="D1302" s="33">
        <v>0</v>
      </c>
      <c r="E1302" s="33">
        <v>0</v>
      </c>
      <c r="F1302" s="31">
        <v>0.41666666666666669</v>
      </c>
      <c r="G1302" s="31">
        <v>0.91666666666666663</v>
      </c>
    </row>
    <row r="1303" spans="2:7">
      <c r="B1303" s="2">
        <v>46228</v>
      </c>
      <c r="C1303" s="33">
        <v>1</v>
      </c>
      <c r="D1303" s="33">
        <v>0</v>
      </c>
      <c r="E1303" s="33">
        <v>0</v>
      </c>
      <c r="F1303" s="31">
        <v>0.41666666666666669</v>
      </c>
      <c r="G1303" s="31">
        <v>0.91666666666666663</v>
      </c>
    </row>
    <row r="1304" spans="2:7">
      <c r="B1304" s="2">
        <v>46229</v>
      </c>
      <c r="C1304" s="33">
        <v>1</v>
      </c>
      <c r="D1304" s="33">
        <v>0</v>
      </c>
      <c r="E1304" s="33">
        <v>0</v>
      </c>
      <c r="F1304" s="31">
        <v>0.45833333333333331</v>
      </c>
      <c r="G1304" s="31">
        <v>0.875</v>
      </c>
    </row>
    <row r="1305" spans="2:7">
      <c r="B1305" s="2">
        <v>46230</v>
      </c>
      <c r="C1305" s="33">
        <v>1</v>
      </c>
      <c r="D1305" s="33">
        <v>0</v>
      </c>
      <c r="E1305" s="33">
        <v>0</v>
      </c>
      <c r="F1305" s="31">
        <v>0.41666666666666669</v>
      </c>
      <c r="G1305" s="31">
        <v>0.91666666666666663</v>
      </c>
    </row>
    <row r="1306" spans="2:7">
      <c r="B1306" s="2">
        <v>46231</v>
      </c>
      <c r="C1306" s="33">
        <v>1</v>
      </c>
      <c r="D1306" s="33">
        <v>0</v>
      </c>
      <c r="E1306" s="33">
        <v>0</v>
      </c>
      <c r="F1306" s="31">
        <v>0.41666666666666669</v>
      </c>
      <c r="G1306" s="31">
        <v>0.91666666666666663</v>
      </c>
    </row>
    <row r="1307" spans="2:7">
      <c r="B1307" s="2">
        <v>46232</v>
      </c>
      <c r="C1307" s="33">
        <v>1</v>
      </c>
      <c r="D1307" s="33">
        <v>0</v>
      </c>
      <c r="E1307" s="33">
        <v>0</v>
      </c>
      <c r="F1307" s="31">
        <v>0.41666666666666669</v>
      </c>
      <c r="G1307" s="31">
        <v>0.91666666666666663</v>
      </c>
    </row>
    <row r="1308" spans="2:7">
      <c r="B1308" s="2">
        <v>46233</v>
      </c>
      <c r="C1308" s="33">
        <v>1</v>
      </c>
      <c r="D1308" s="33">
        <v>0</v>
      </c>
      <c r="E1308" s="33">
        <v>0</v>
      </c>
      <c r="F1308" s="31">
        <v>0.41666666666666669</v>
      </c>
      <c r="G1308" s="31">
        <v>0.91666666666666663</v>
      </c>
    </row>
    <row r="1309" spans="2:7">
      <c r="B1309" s="2">
        <v>46234</v>
      </c>
      <c r="C1309" s="33">
        <v>1</v>
      </c>
      <c r="D1309" s="33">
        <v>0</v>
      </c>
      <c r="E1309" s="33">
        <v>0</v>
      </c>
      <c r="F1309" s="31">
        <v>0.41666666666666669</v>
      </c>
      <c r="G1309" s="31">
        <v>0.91666666666666663</v>
      </c>
    </row>
    <row r="1310" spans="2:7">
      <c r="B1310" s="2">
        <v>46235</v>
      </c>
      <c r="C1310" s="33">
        <v>1</v>
      </c>
      <c r="D1310" s="33">
        <v>0</v>
      </c>
      <c r="E1310" s="33">
        <v>0</v>
      </c>
      <c r="F1310" s="31">
        <v>0.41666666666666669</v>
      </c>
      <c r="G1310" s="31">
        <v>0.91666666666666663</v>
      </c>
    </row>
    <row r="1311" spans="2:7">
      <c r="B1311" s="2">
        <v>46236</v>
      </c>
      <c r="C1311" s="33">
        <v>1</v>
      </c>
      <c r="D1311" s="33">
        <v>0</v>
      </c>
      <c r="E1311" s="33">
        <v>0</v>
      </c>
      <c r="F1311" s="31">
        <v>0.45833333333333331</v>
      </c>
      <c r="G1311" s="31">
        <v>0.875</v>
      </c>
    </row>
    <row r="1312" spans="2:7">
      <c r="B1312" s="2">
        <v>46237</v>
      </c>
      <c r="C1312" s="33">
        <v>1</v>
      </c>
      <c r="D1312" s="33">
        <v>0</v>
      </c>
      <c r="E1312" s="33">
        <v>0</v>
      </c>
      <c r="F1312" s="31">
        <v>0.41666666666666669</v>
      </c>
      <c r="G1312" s="31">
        <v>0.91666666666666663</v>
      </c>
    </row>
    <row r="1313" spans="2:7">
      <c r="B1313" s="2">
        <v>46238</v>
      </c>
      <c r="C1313" s="33">
        <v>1</v>
      </c>
      <c r="D1313" s="33">
        <v>0</v>
      </c>
      <c r="E1313" s="33">
        <v>0</v>
      </c>
      <c r="F1313" s="31">
        <v>0.41666666666666669</v>
      </c>
      <c r="G1313" s="31">
        <v>0.91666666666666663</v>
      </c>
    </row>
    <row r="1314" spans="2:7">
      <c r="B1314" s="2">
        <v>46239</v>
      </c>
      <c r="C1314" s="33">
        <v>1</v>
      </c>
      <c r="D1314" s="33">
        <v>0</v>
      </c>
      <c r="E1314" s="33">
        <v>0</v>
      </c>
      <c r="F1314" s="31">
        <v>0.41666666666666669</v>
      </c>
      <c r="G1314" s="31">
        <v>0.91666666666666663</v>
      </c>
    </row>
    <row r="1315" spans="2:7">
      <c r="B1315" s="2">
        <v>46240</v>
      </c>
      <c r="C1315" s="33">
        <v>1</v>
      </c>
      <c r="D1315" s="33">
        <v>0</v>
      </c>
      <c r="E1315" s="33">
        <v>0</v>
      </c>
      <c r="F1315" s="31">
        <v>0.41666666666666669</v>
      </c>
      <c r="G1315" s="31">
        <v>0.91666666666666663</v>
      </c>
    </row>
    <row r="1316" spans="2:7">
      <c r="B1316" s="2">
        <v>46241</v>
      </c>
      <c r="C1316" s="33">
        <v>1</v>
      </c>
      <c r="D1316" s="33">
        <v>0</v>
      </c>
      <c r="E1316" s="33">
        <v>0</v>
      </c>
      <c r="F1316" s="31">
        <v>0.41666666666666669</v>
      </c>
      <c r="G1316" s="31">
        <v>0.91666666666666663</v>
      </c>
    </row>
    <row r="1317" spans="2:7">
      <c r="B1317" s="2">
        <v>46242</v>
      </c>
      <c r="C1317" s="33">
        <v>1</v>
      </c>
      <c r="D1317" s="33">
        <v>0</v>
      </c>
      <c r="E1317" s="33">
        <v>0</v>
      </c>
      <c r="F1317" s="31">
        <v>0.41666666666666669</v>
      </c>
      <c r="G1317" s="31">
        <v>0.91666666666666663</v>
      </c>
    </row>
    <row r="1318" spans="2:7">
      <c r="B1318" s="2">
        <v>46243</v>
      </c>
      <c r="C1318" s="33">
        <v>1</v>
      </c>
      <c r="D1318" s="33">
        <v>0</v>
      </c>
      <c r="E1318" s="33">
        <v>0</v>
      </c>
      <c r="F1318" s="31">
        <v>0.45833333333333331</v>
      </c>
      <c r="G1318" s="31">
        <v>0.875</v>
      </c>
    </row>
    <row r="1319" spans="2:7">
      <c r="B1319" s="2">
        <v>46244</v>
      </c>
      <c r="C1319" s="33">
        <v>1</v>
      </c>
      <c r="D1319" s="33">
        <v>0</v>
      </c>
      <c r="E1319" s="33">
        <v>0</v>
      </c>
      <c r="F1319" s="31">
        <v>0.41666666666666669</v>
      </c>
      <c r="G1319" s="31">
        <v>0.91666666666666663</v>
      </c>
    </row>
    <row r="1320" spans="2:7">
      <c r="B1320" s="2">
        <v>46245</v>
      </c>
      <c r="C1320" s="33">
        <v>1</v>
      </c>
      <c r="D1320" s="33">
        <v>0</v>
      </c>
      <c r="E1320" s="33">
        <v>0</v>
      </c>
      <c r="F1320" s="31">
        <v>0.41666666666666669</v>
      </c>
      <c r="G1320" s="31">
        <v>0.91666666666666663</v>
      </c>
    </row>
    <row r="1321" spans="2:7">
      <c r="B1321" s="2">
        <v>46246</v>
      </c>
      <c r="C1321" s="33">
        <v>1</v>
      </c>
      <c r="D1321" s="33">
        <v>0</v>
      </c>
      <c r="E1321" s="33">
        <v>0</v>
      </c>
      <c r="F1321" s="31">
        <v>0.41666666666666669</v>
      </c>
      <c r="G1321" s="31">
        <v>0.91666666666666663</v>
      </c>
    </row>
    <row r="1322" spans="2:7">
      <c r="B1322" s="2">
        <v>46247</v>
      </c>
      <c r="C1322" s="33">
        <v>1</v>
      </c>
      <c r="D1322" s="33">
        <v>0</v>
      </c>
      <c r="E1322" s="33">
        <v>0</v>
      </c>
      <c r="F1322" s="31">
        <v>0.41666666666666669</v>
      </c>
      <c r="G1322" s="31">
        <v>0.91666666666666663</v>
      </c>
    </row>
    <row r="1323" spans="2:7">
      <c r="B1323" s="2">
        <v>46248</v>
      </c>
      <c r="C1323" s="33">
        <v>1</v>
      </c>
      <c r="D1323" s="33">
        <v>0</v>
      </c>
      <c r="E1323" s="33">
        <v>0</v>
      </c>
      <c r="F1323" s="31">
        <v>0.41666666666666669</v>
      </c>
      <c r="G1323" s="31">
        <v>0.91666666666666663</v>
      </c>
    </row>
    <row r="1324" spans="2:7">
      <c r="B1324" s="2">
        <v>46249</v>
      </c>
      <c r="C1324" s="33">
        <v>1</v>
      </c>
      <c r="D1324" s="33">
        <v>0</v>
      </c>
      <c r="E1324" s="33">
        <v>0</v>
      </c>
      <c r="F1324" s="31">
        <v>0.45833333333333331</v>
      </c>
      <c r="G1324" s="31">
        <v>0.875</v>
      </c>
    </row>
    <row r="1325" spans="2:7">
      <c r="B1325" s="2">
        <v>46250</v>
      </c>
      <c r="C1325" s="33">
        <v>1</v>
      </c>
      <c r="D1325" s="33">
        <v>0</v>
      </c>
      <c r="E1325" s="33">
        <v>0</v>
      </c>
      <c r="F1325" s="31">
        <v>0.45833333333333331</v>
      </c>
      <c r="G1325" s="31">
        <v>0.875</v>
      </c>
    </row>
    <row r="1326" spans="2:7">
      <c r="B1326" s="2">
        <v>46251</v>
      </c>
      <c r="C1326" s="33">
        <v>1</v>
      </c>
      <c r="D1326" s="33">
        <v>0</v>
      </c>
      <c r="E1326" s="33">
        <v>0</v>
      </c>
      <c r="F1326" s="31">
        <v>0.41666666666666669</v>
      </c>
      <c r="G1326" s="31">
        <v>0.91666666666666663</v>
      </c>
    </row>
    <row r="1327" spans="2:7">
      <c r="B1327" s="2">
        <v>46252</v>
      </c>
      <c r="C1327" s="33">
        <v>1</v>
      </c>
      <c r="D1327" s="33">
        <v>0</v>
      </c>
      <c r="E1327" s="33">
        <v>0</v>
      </c>
      <c r="F1327" s="31">
        <v>0.41666666666666669</v>
      </c>
      <c r="G1327" s="31">
        <v>0.91666666666666663</v>
      </c>
    </row>
    <row r="1328" spans="2:7">
      <c r="B1328" s="2">
        <v>46253</v>
      </c>
      <c r="C1328" s="33">
        <v>1</v>
      </c>
      <c r="D1328" s="33">
        <v>0</v>
      </c>
      <c r="E1328" s="33">
        <v>0</v>
      </c>
      <c r="F1328" s="31">
        <v>0.41666666666666669</v>
      </c>
      <c r="G1328" s="31">
        <v>0.91666666666666663</v>
      </c>
    </row>
    <row r="1329" spans="2:7">
      <c r="B1329" s="2">
        <v>46254</v>
      </c>
      <c r="C1329" s="33">
        <v>1</v>
      </c>
      <c r="D1329" s="33">
        <v>0</v>
      </c>
      <c r="E1329" s="33">
        <v>0</v>
      </c>
      <c r="F1329" s="31">
        <v>0.41666666666666669</v>
      </c>
      <c r="G1329" s="31">
        <v>0.91666666666666663</v>
      </c>
    </row>
    <row r="1330" spans="2:7">
      <c r="B1330" s="2">
        <v>46255</v>
      </c>
      <c r="C1330" s="33">
        <v>1</v>
      </c>
      <c r="D1330" s="33">
        <v>0</v>
      </c>
      <c r="E1330" s="33">
        <v>0</v>
      </c>
      <c r="F1330" s="31">
        <v>0.41666666666666669</v>
      </c>
      <c r="G1330" s="31">
        <v>0.91666666666666663</v>
      </c>
    </row>
    <row r="1331" spans="2:7">
      <c r="B1331" s="2">
        <v>46256</v>
      </c>
      <c r="C1331" s="33">
        <v>1</v>
      </c>
      <c r="D1331" s="33">
        <v>0</v>
      </c>
      <c r="E1331" s="33">
        <v>0</v>
      </c>
      <c r="F1331" s="31">
        <v>0.41666666666666669</v>
      </c>
      <c r="G1331" s="31">
        <v>0.91666666666666663</v>
      </c>
    </row>
    <row r="1332" spans="2:7">
      <c r="B1332" s="2">
        <v>46257</v>
      </c>
      <c r="C1332" s="33">
        <v>1</v>
      </c>
      <c r="D1332" s="33">
        <v>0</v>
      </c>
      <c r="E1332" s="33">
        <v>0</v>
      </c>
      <c r="F1332" s="31">
        <v>0.45833333333333331</v>
      </c>
      <c r="G1332" s="31">
        <v>0.875</v>
      </c>
    </row>
    <row r="1333" spans="2:7">
      <c r="B1333" s="2">
        <v>46258</v>
      </c>
      <c r="C1333" s="33">
        <v>1</v>
      </c>
      <c r="D1333" s="33">
        <v>0</v>
      </c>
      <c r="E1333" s="33">
        <v>0</v>
      </c>
      <c r="F1333" s="31">
        <v>0.41666666666666669</v>
      </c>
      <c r="G1333" s="31">
        <v>0.91666666666666663</v>
      </c>
    </row>
    <row r="1334" spans="2:7">
      <c r="B1334" s="2">
        <v>46259</v>
      </c>
      <c r="C1334" s="33">
        <v>1</v>
      </c>
      <c r="D1334" s="33">
        <v>0</v>
      </c>
      <c r="E1334" s="33">
        <v>0</v>
      </c>
      <c r="F1334" s="31">
        <v>0.41666666666666669</v>
      </c>
      <c r="G1334" s="31">
        <v>0.91666666666666663</v>
      </c>
    </row>
    <row r="1335" spans="2:7">
      <c r="B1335" s="2">
        <v>46260</v>
      </c>
      <c r="C1335" s="33">
        <v>1</v>
      </c>
      <c r="D1335" s="33">
        <v>0</v>
      </c>
      <c r="E1335" s="33">
        <v>0</v>
      </c>
      <c r="F1335" s="31">
        <v>0.41666666666666669</v>
      </c>
      <c r="G1335" s="31">
        <v>0.91666666666666663</v>
      </c>
    </row>
    <row r="1336" spans="2:7">
      <c r="B1336" s="2">
        <v>46261</v>
      </c>
      <c r="C1336" s="33">
        <v>1</v>
      </c>
      <c r="D1336" s="33">
        <v>0</v>
      </c>
      <c r="E1336" s="33">
        <v>0</v>
      </c>
      <c r="F1336" s="31">
        <v>0.41666666666666669</v>
      </c>
      <c r="G1336" s="31">
        <v>0.91666666666666663</v>
      </c>
    </row>
    <row r="1337" spans="2:7">
      <c r="B1337" s="2">
        <v>46262</v>
      </c>
      <c r="C1337" s="33">
        <v>1</v>
      </c>
      <c r="D1337" s="33">
        <v>0</v>
      </c>
      <c r="E1337" s="33">
        <v>0</v>
      </c>
      <c r="F1337" s="31">
        <v>0.41666666666666669</v>
      </c>
      <c r="G1337" s="31">
        <v>0.91666666666666663</v>
      </c>
    </row>
    <row r="1338" spans="2:7">
      <c r="B1338" s="2">
        <v>46263</v>
      </c>
      <c r="C1338" s="33">
        <v>1</v>
      </c>
      <c r="D1338" s="33">
        <v>0</v>
      </c>
      <c r="E1338" s="33">
        <v>0</v>
      </c>
      <c r="F1338" s="31">
        <v>0.41666666666666669</v>
      </c>
      <c r="G1338" s="31">
        <v>0.91666666666666663</v>
      </c>
    </row>
    <row r="1339" spans="2:7">
      <c r="B1339" s="2">
        <v>46264</v>
      </c>
      <c r="C1339" s="33">
        <v>1</v>
      </c>
      <c r="D1339" s="33">
        <v>0</v>
      </c>
      <c r="E1339" s="33">
        <v>0</v>
      </c>
      <c r="F1339" s="31">
        <v>0.45833333333333331</v>
      </c>
      <c r="G1339" s="31">
        <v>0.875</v>
      </c>
    </row>
    <row r="1340" spans="2:7">
      <c r="B1340" s="2">
        <v>46265</v>
      </c>
      <c r="C1340" s="33">
        <v>1</v>
      </c>
      <c r="D1340" s="33">
        <v>0</v>
      </c>
      <c r="E1340" s="33">
        <v>0</v>
      </c>
      <c r="F1340" s="31">
        <v>0.41666666666666669</v>
      </c>
      <c r="G1340" s="31">
        <v>0.91666666666666663</v>
      </c>
    </row>
    <row r="1341" spans="2:7">
      <c r="B1341" s="2">
        <v>46266</v>
      </c>
      <c r="C1341" s="33">
        <v>1</v>
      </c>
      <c r="D1341" s="33">
        <v>0</v>
      </c>
      <c r="E1341" s="33">
        <v>0</v>
      </c>
      <c r="F1341" s="31">
        <v>0.41666666666666669</v>
      </c>
      <c r="G1341" s="31">
        <v>0.91666666666666663</v>
      </c>
    </row>
    <row r="1342" spans="2:7">
      <c r="B1342" s="2">
        <v>46267</v>
      </c>
      <c r="C1342" s="33">
        <v>1</v>
      </c>
      <c r="D1342" s="33">
        <v>0</v>
      </c>
      <c r="E1342" s="33">
        <v>0</v>
      </c>
      <c r="F1342" s="31">
        <v>0.41666666666666669</v>
      </c>
      <c r="G1342" s="31">
        <v>0.91666666666666663</v>
      </c>
    </row>
    <row r="1343" spans="2:7">
      <c r="B1343" s="2">
        <v>46268</v>
      </c>
      <c r="C1343" s="33">
        <v>1</v>
      </c>
      <c r="D1343" s="33">
        <v>0</v>
      </c>
      <c r="E1343" s="33">
        <v>0</v>
      </c>
      <c r="F1343" s="31">
        <v>0.41666666666666669</v>
      </c>
      <c r="G1343" s="31">
        <v>0.91666666666666663</v>
      </c>
    </row>
    <row r="1344" spans="2:7">
      <c r="B1344" s="2">
        <v>46269</v>
      </c>
      <c r="C1344" s="33">
        <v>1</v>
      </c>
      <c r="D1344" s="33">
        <v>0</v>
      </c>
      <c r="E1344" s="33">
        <v>0</v>
      </c>
      <c r="F1344" s="31">
        <v>0.41666666666666669</v>
      </c>
      <c r="G1344" s="31">
        <v>0.91666666666666663</v>
      </c>
    </row>
    <row r="1345" spans="2:7">
      <c r="B1345" s="2">
        <v>46270</v>
      </c>
      <c r="C1345" s="33">
        <v>1</v>
      </c>
      <c r="D1345" s="33">
        <v>0</v>
      </c>
      <c r="E1345" s="33">
        <v>0</v>
      </c>
      <c r="F1345" s="31">
        <v>0.41666666666666669</v>
      </c>
      <c r="G1345" s="31">
        <v>0.91666666666666663</v>
      </c>
    </row>
    <row r="1346" spans="2:7">
      <c r="B1346" s="2">
        <v>46271</v>
      </c>
      <c r="C1346" s="33">
        <v>1</v>
      </c>
      <c r="D1346" s="33">
        <v>0</v>
      </c>
      <c r="E1346" s="33">
        <v>0</v>
      </c>
      <c r="F1346" s="31">
        <v>0.45833333333333331</v>
      </c>
      <c r="G1346" s="31">
        <v>0.875</v>
      </c>
    </row>
    <row r="1347" spans="2:7">
      <c r="B1347" s="2">
        <v>46272</v>
      </c>
      <c r="C1347" s="33">
        <v>1</v>
      </c>
      <c r="D1347" s="33">
        <v>0</v>
      </c>
      <c r="E1347" s="33">
        <v>0</v>
      </c>
      <c r="F1347" s="31">
        <v>0.41666666666666669</v>
      </c>
      <c r="G1347" s="31">
        <v>0.91666666666666663</v>
      </c>
    </row>
    <row r="1348" spans="2:7">
      <c r="B1348" s="2">
        <v>46273</v>
      </c>
      <c r="C1348" s="33">
        <v>1</v>
      </c>
      <c r="D1348" s="33">
        <v>0</v>
      </c>
      <c r="E1348" s="33">
        <v>0</v>
      </c>
      <c r="F1348" s="31">
        <v>0.41666666666666669</v>
      </c>
      <c r="G1348" s="31">
        <v>0.91666666666666663</v>
      </c>
    </row>
    <row r="1349" spans="2:7">
      <c r="B1349" s="2">
        <v>46274</v>
      </c>
      <c r="C1349" s="33">
        <v>1</v>
      </c>
      <c r="D1349" s="33">
        <v>0</v>
      </c>
      <c r="E1349" s="33">
        <v>0</v>
      </c>
      <c r="F1349" s="31">
        <v>0.41666666666666669</v>
      </c>
      <c r="G1349" s="31">
        <v>0.91666666666666663</v>
      </c>
    </row>
    <row r="1350" spans="2:7">
      <c r="B1350" s="2">
        <v>46275</v>
      </c>
      <c r="C1350" s="33">
        <v>1</v>
      </c>
      <c r="D1350" s="33">
        <v>0</v>
      </c>
      <c r="E1350" s="33">
        <v>0</v>
      </c>
      <c r="F1350" s="31">
        <v>0.41666666666666669</v>
      </c>
      <c r="G1350" s="31">
        <v>0.91666666666666663</v>
      </c>
    </row>
    <row r="1351" spans="2:7">
      <c r="B1351" s="2">
        <v>46276</v>
      </c>
      <c r="C1351" s="33">
        <v>1</v>
      </c>
      <c r="D1351" s="33">
        <v>0</v>
      </c>
      <c r="E1351" s="33">
        <v>0</v>
      </c>
      <c r="F1351" s="31">
        <v>0.41666666666666669</v>
      </c>
      <c r="G1351" s="31">
        <v>0.91666666666666663</v>
      </c>
    </row>
    <row r="1352" spans="2:7">
      <c r="B1352" s="2">
        <v>46277</v>
      </c>
      <c r="C1352" s="33">
        <v>1</v>
      </c>
      <c r="D1352" s="33">
        <v>0</v>
      </c>
      <c r="E1352" s="33">
        <v>0</v>
      </c>
      <c r="F1352" s="31">
        <v>0.41666666666666669</v>
      </c>
      <c r="G1352" s="31">
        <v>0.91666666666666663</v>
      </c>
    </row>
    <row r="1353" spans="2:7">
      <c r="B1353" s="2">
        <v>46278</v>
      </c>
      <c r="C1353" s="33">
        <v>1</v>
      </c>
      <c r="D1353" s="33">
        <v>0</v>
      </c>
      <c r="E1353" s="33">
        <v>0</v>
      </c>
      <c r="F1353" s="31">
        <v>0.45833333333333331</v>
      </c>
      <c r="G1353" s="31">
        <v>0.875</v>
      </c>
    </row>
    <row r="1354" spans="2:7">
      <c r="B1354" s="2">
        <v>46279</v>
      </c>
      <c r="C1354" s="33">
        <v>1</v>
      </c>
      <c r="D1354" s="33">
        <v>0</v>
      </c>
      <c r="E1354" s="33">
        <v>0</v>
      </c>
      <c r="F1354" s="31">
        <v>0.41666666666666669</v>
      </c>
      <c r="G1354" s="31">
        <v>0.91666666666666663</v>
      </c>
    </row>
    <row r="1355" spans="2:7">
      <c r="B1355" s="2">
        <v>46280</v>
      </c>
      <c r="C1355" s="33">
        <v>1</v>
      </c>
      <c r="D1355" s="33">
        <v>0</v>
      </c>
      <c r="E1355" s="33">
        <v>0</v>
      </c>
      <c r="F1355" s="31">
        <v>0.41666666666666669</v>
      </c>
      <c r="G1355" s="31">
        <v>0.91666666666666663</v>
      </c>
    </row>
    <row r="1356" spans="2:7">
      <c r="B1356" s="2">
        <v>46281</v>
      </c>
      <c r="C1356" s="33">
        <v>1</v>
      </c>
      <c r="D1356" s="33">
        <v>0</v>
      </c>
      <c r="E1356" s="33">
        <v>0</v>
      </c>
      <c r="F1356" s="31">
        <v>0.41666666666666669</v>
      </c>
      <c r="G1356" s="31">
        <v>0.91666666666666663</v>
      </c>
    </row>
    <row r="1357" spans="2:7">
      <c r="B1357" s="2">
        <v>46282</v>
      </c>
      <c r="C1357" s="33">
        <v>1</v>
      </c>
      <c r="D1357" s="33">
        <v>0</v>
      </c>
      <c r="E1357" s="33">
        <v>0</v>
      </c>
      <c r="F1357" s="31">
        <v>0.41666666666666669</v>
      </c>
      <c r="G1357" s="31">
        <v>0.91666666666666663</v>
      </c>
    </row>
    <row r="1358" spans="2:7">
      <c r="B1358" s="2">
        <v>46283</v>
      </c>
      <c r="C1358" s="33">
        <v>1</v>
      </c>
      <c r="D1358" s="33">
        <v>0</v>
      </c>
      <c r="E1358" s="33">
        <v>0</v>
      </c>
      <c r="F1358" s="31">
        <v>0.41666666666666669</v>
      </c>
      <c r="G1358" s="31">
        <v>0.91666666666666663</v>
      </c>
    </row>
    <row r="1359" spans="2:7">
      <c r="B1359" s="2">
        <v>46284</v>
      </c>
      <c r="C1359" s="33">
        <v>1</v>
      </c>
      <c r="D1359" s="33">
        <v>0</v>
      </c>
      <c r="E1359" s="33">
        <v>0</v>
      </c>
      <c r="F1359" s="31">
        <v>0.41666666666666669</v>
      </c>
      <c r="G1359" s="31">
        <v>0.91666666666666663</v>
      </c>
    </row>
    <row r="1360" spans="2:7">
      <c r="B1360" s="2">
        <v>46285</v>
      </c>
      <c r="C1360" s="33">
        <v>1</v>
      </c>
      <c r="D1360" s="33">
        <v>0</v>
      </c>
      <c r="E1360" s="33">
        <v>0</v>
      </c>
      <c r="F1360" s="31">
        <v>0.45833333333333331</v>
      </c>
      <c r="G1360" s="31">
        <v>0.875</v>
      </c>
    </row>
    <row r="1361" spans="2:7">
      <c r="B1361" s="2">
        <v>46286</v>
      </c>
      <c r="C1361" s="33">
        <v>1</v>
      </c>
      <c r="D1361" s="33">
        <v>0</v>
      </c>
      <c r="E1361" s="33">
        <v>0</v>
      </c>
      <c r="F1361" s="31">
        <v>0.41666666666666669</v>
      </c>
      <c r="G1361" s="31">
        <v>0.91666666666666663</v>
      </c>
    </row>
    <row r="1362" spans="2:7">
      <c r="B1362" s="2">
        <v>46287</v>
      </c>
      <c r="C1362" s="33">
        <v>1</v>
      </c>
      <c r="D1362" s="33">
        <v>0</v>
      </c>
      <c r="E1362" s="33">
        <v>0</v>
      </c>
      <c r="F1362" s="31">
        <v>0.41666666666666669</v>
      </c>
      <c r="G1362" s="31">
        <v>0.91666666666666663</v>
      </c>
    </row>
    <row r="1363" spans="2:7">
      <c r="B1363" s="2">
        <v>46288</v>
      </c>
      <c r="C1363" s="33">
        <v>1</v>
      </c>
      <c r="D1363" s="33">
        <v>0</v>
      </c>
      <c r="E1363" s="33">
        <v>0</v>
      </c>
      <c r="F1363" s="31">
        <v>0.41666666666666669</v>
      </c>
      <c r="G1363" s="31">
        <v>0.91666666666666663</v>
      </c>
    </row>
    <row r="1364" spans="2:7">
      <c r="B1364" s="2">
        <v>46289</v>
      </c>
      <c r="C1364" s="33">
        <v>1</v>
      </c>
      <c r="D1364" s="33">
        <v>0</v>
      </c>
      <c r="E1364" s="33">
        <v>0</v>
      </c>
      <c r="F1364" s="31">
        <v>0.41666666666666669</v>
      </c>
      <c r="G1364" s="31">
        <v>0.91666666666666663</v>
      </c>
    </row>
    <row r="1365" spans="2:7">
      <c r="B1365" s="2">
        <v>46290</v>
      </c>
      <c r="C1365" s="33">
        <v>1</v>
      </c>
      <c r="D1365" s="33">
        <v>0</v>
      </c>
      <c r="E1365" s="33">
        <v>0</v>
      </c>
      <c r="F1365" s="31">
        <v>0.41666666666666669</v>
      </c>
      <c r="G1365" s="31">
        <v>0.91666666666666663</v>
      </c>
    </row>
    <row r="1366" spans="2:7">
      <c r="B1366" s="2">
        <v>46291</v>
      </c>
      <c r="C1366" s="33">
        <v>1</v>
      </c>
      <c r="D1366" s="33">
        <v>0</v>
      </c>
      <c r="E1366" s="33">
        <v>0</v>
      </c>
      <c r="F1366" s="31">
        <v>0.41666666666666669</v>
      </c>
      <c r="G1366" s="31">
        <v>0.91666666666666663</v>
      </c>
    </row>
    <row r="1367" spans="2:7">
      <c r="B1367" s="2">
        <v>46292</v>
      </c>
      <c r="C1367" s="33">
        <v>1</v>
      </c>
      <c r="D1367" s="33">
        <v>0</v>
      </c>
      <c r="E1367" s="33">
        <v>0</v>
      </c>
      <c r="F1367" s="31">
        <v>0.45833333333333331</v>
      </c>
      <c r="G1367" s="31">
        <v>0.875</v>
      </c>
    </row>
    <row r="1368" spans="2:7">
      <c r="B1368" s="2">
        <v>46293</v>
      </c>
      <c r="C1368" s="33">
        <v>1</v>
      </c>
      <c r="D1368" s="33">
        <v>0</v>
      </c>
      <c r="E1368" s="33">
        <v>0</v>
      </c>
      <c r="F1368" s="31">
        <v>0.41666666666666669</v>
      </c>
      <c r="G1368" s="31">
        <v>0.91666666666666663</v>
      </c>
    </row>
    <row r="1369" spans="2:7">
      <c r="B1369" s="2">
        <v>46294</v>
      </c>
      <c r="C1369" s="33">
        <v>1</v>
      </c>
      <c r="D1369" s="33">
        <v>0</v>
      </c>
      <c r="E1369" s="33">
        <v>0</v>
      </c>
      <c r="F1369" s="31">
        <v>0.41666666666666669</v>
      </c>
      <c r="G1369" s="31">
        <v>0.91666666666666663</v>
      </c>
    </row>
    <row r="1370" spans="2:7">
      <c r="B1370" s="2">
        <v>46295</v>
      </c>
      <c r="C1370" s="33">
        <v>1</v>
      </c>
      <c r="D1370" s="33">
        <v>0</v>
      </c>
      <c r="E1370" s="33">
        <v>0</v>
      </c>
      <c r="F1370" s="31">
        <v>0.41666666666666669</v>
      </c>
      <c r="G1370" s="31">
        <v>0.91666666666666663</v>
      </c>
    </row>
    <row r="1371" spans="2:7">
      <c r="B1371" s="2">
        <v>46296</v>
      </c>
      <c r="C1371" s="33">
        <v>1</v>
      </c>
      <c r="D1371" s="33">
        <v>0</v>
      </c>
      <c r="E1371" s="33">
        <v>0</v>
      </c>
      <c r="F1371" s="31">
        <v>0.41666666666666669</v>
      </c>
      <c r="G1371" s="31">
        <v>0.91666666666666663</v>
      </c>
    </row>
    <row r="1372" spans="2:7">
      <c r="B1372" s="2">
        <v>46297</v>
      </c>
      <c r="C1372" s="33">
        <v>1</v>
      </c>
      <c r="D1372" s="33">
        <v>0</v>
      </c>
      <c r="E1372" s="33">
        <v>0</v>
      </c>
      <c r="F1372" s="31">
        <v>0.41666666666666669</v>
      </c>
      <c r="G1372" s="31">
        <v>0.91666666666666663</v>
      </c>
    </row>
    <row r="1373" spans="2:7">
      <c r="B1373" s="2">
        <v>46298</v>
      </c>
      <c r="C1373" s="33">
        <v>1</v>
      </c>
      <c r="D1373" s="33">
        <v>0</v>
      </c>
      <c r="E1373" s="33">
        <v>0</v>
      </c>
      <c r="F1373" s="31">
        <v>0.41666666666666669</v>
      </c>
      <c r="G1373" s="31">
        <v>0.91666666666666663</v>
      </c>
    </row>
    <row r="1374" spans="2:7">
      <c r="B1374" s="2">
        <v>46299</v>
      </c>
      <c r="C1374" s="33">
        <v>1</v>
      </c>
      <c r="D1374" s="33">
        <v>0</v>
      </c>
      <c r="E1374" s="33">
        <v>0</v>
      </c>
      <c r="F1374" s="31">
        <v>0.45833333333333331</v>
      </c>
      <c r="G1374" s="31">
        <v>0.875</v>
      </c>
    </row>
    <row r="1375" spans="2:7">
      <c r="B1375" s="2">
        <v>46300</v>
      </c>
      <c r="C1375" s="33">
        <v>1</v>
      </c>
      <c r="D1375" s="33">
        <v>0</v>
      </c>
      <c r="E1375" s="33">
        <v>0</v>
      </c>
      <c r="F1375" s="31">
        <v>0.41666666666666669</v>
      </c>
      <c r="G1375" s="31">
        <v>0.91666666666666663</v>
      </c>
    </row>
    <row r="1376" spans="2:7">
      <c r="B1376" s="2">
        <v>46301</v>
      </c>
      <c r="C1376" s="33">
        <v>1</v>
      </c>
      <c r="D1376" s="33">
        <v>0</v>
      </c>
      <c r="E1376" s="33">
        <v>0</v>
      </c>
      <c r="F1376" s="31">
        <v>0.41666666666666669</v>
      </c>
      <c r="G1376" s="31">
        <v>0.91666666666666663</v>
      </c>
    </row>
    <row r="1377" spans="2:7">
      <c r="B1377" s="2">
        <v>46302</v>
      </c>
      <c r="C1377" s="33">
        <v>1</v>
      </c>
      <c r="D1377" s="33">
        <v>0</v>
      </c>
      <c r="E1377" s="33">
        <v>0</v>
      </c>
      <c r="F1377" s="31">
        <v>0.41666666666666669</v>
      </c>
      <c r="G1377" s="31">
        <v>0.91666666666666663</v>
      </c>
    </row>
    <row r="1378" spans="2:7">
      <c r="B1378" s="2">
        <v>46303</v>
      </c>
      <c r="C1378" s="33">
        <v>1</v>
      </c>
      <c r="D1378" s="33">
        <v>0</v>
      </c>
      <c r="E1378" s="33">
        <v>0</v>
      </c>
      <c r="F1378" s="31">
        <v>0.41666666666666669</v>
      </c>
      <c r="G1378" s="31">
        <v>0.91666666666666663</v>
      </c>
    </row>
    <row r="1379" spans="2:7">
      <c r="B1379" s="2">
        <v>46304</v>
      </c>
      <c r="C1379" s="33">
        <v>0</v>
      </c>
      <c r="D1379" s="33">
        <v>1</v>
      </c>
      <c r="E1379" s="33">
        <v>0</v>
      </c>
    </row>
    <row r="1380" spans="2:7">
      <c r="B1380" s="2">
        <v>46305</v>
      </c>
      <c r="C1380" s="33">
        <v>1</v>
      </c>
      <c r="D1380" s="33">
        <v>0</v>
      </c>
      <c r="E1380" s="33">
        <v>1</v>
      </c>
      <c r="F1380" s="31">
        <v>0.41666666666666669</v>
      </c>
      <c r="G1380" s="31">
        <v>0.91666666666666663</v>
      </c>
    </row>
    <row r="1381" spans="2:7">
      <c r="B1381" s="2">
        <v>46306</v>
      </c>
      <c r="C1381" s="33">
        <v>1</v>
      </c>
      <c r="D1381" s="33">
        <v>0</v>
      </c>
      <c r="E1381" s="33">
        <v>0</v>
      </c>
      <c r="F1381" s="31">
        <v>0.45833333333333331</v>
      </c>
      <c r="G1381" s="31">
        <v>0.875</v>
      </c>
    </row>
    <row r="1382" spans="2:7">
      <c r="B1382" s="2">
        <v>46307</v>
      </c>
      <c r="C1382" s="33">
        <v>1</v>
      </c>
      <c r="D1382" s="33">
        <v>0</v>
      </c>
      <c r="E1382" s="33">
        <v>0</v>
      </c>
      <c r="F1382" s="31">
        <v>0.45833333333333331</v>
      </c>
      <c r="G1382" s="31">
        <v>0.875</v>
      </c>
    </row>
    <row r="1383" spans="2:7">
      <c r="B1383" s="2">
        <v>46308</v>
      </c>
      <c r="C1383" s="33">
        <v>1</v>
      </c>
      <c r="D1383" s="33">
        <v>0</v>
      </c>
      <c r="E1383" s="33">
        <v>0</v>
      </c>
      <c r="F1383" s="31">
        <v>0.41666666666666669</v>
      </c>
      <c r="G1383" s="31">
        <v>0.91666666666666663</v>
      </c>
    </row>
    <row r="1384" spans="2:7">
      <c r="B1384" s="2">
        <v>46309</v>
      </c>
      <c r="C1384" s="33">
        <v>1</v>
      </c>
      <c r="D1384" s="33">
        <v>0</v>
      </c>
      <c r="E1384" s="33">
        <v>0</v>
      </c>
      <c r="F1384" s="31">
        <v>0.41666666666666669</v>
      </c>
      <c r="G1384" s="31">
        <v>0.91666666666666663</v>
      </c>
    </row>
    <row r="1385" spans="2:7">
      <c r="B1385" s="2">
        <v>46310</v>
      </c>
      <c r="C1385" s="33">
        <v>1</v>
      </c>
      <c r="D1385" s="33">
        <v>0</v>
      </c>
      <c r="E1385" s="33">
        <v>0</v>
      </c>
      <c r="F1385" s="31">
        <v>0.41666666666666669</v>
      </c>
      <c r="G1385" s="31">
        <v>0.91666666666666663</v>
      </c>
    </row>
    <row r="1386" spans="2:7">
      <c r="B1386" s="2">
        <v>46311</v>
      </c>
      <c r="C1386" s="33">
        <v>1</v>
      </c>
      <c r="D1386" s="33">
        <v>0</v>
      </c>
      <c r="E1386" s="33">
        <v>0</v>
      </c>
      <c r="F1386" s="31">
        <v>0.41666666666666669</v>
      </c>
      <c r="G1386" s="31">
        <v>0.91666666666666663</v>
      </c>
    </row>
    <row r="1387" spans="2:7">
      <c r="B1387" s="2">
        <v>46312</v>
      </c>
      <c r="C1387" s="33">
        <v>1</v>
      </c>
      <c r="D1387" s="33">
        <v>0</v>
      </c>
      <c r="E1387" s="33">
        <v>0</v>
      </c>
      <c r="F1387" s="31">
        <v>0.41666666666666669</v>
      </c>
      <c r="G1387" s="31">
        <v>0.91666666666666663</v>
      </c>
    </row>
    <row r="1388" spans="2:7">
      <c r="B1388" s="2">
        <v>46313</v>
      </c>
      <c r="C1388" s="33">
        <v>1</v>
      </c>
      <c r="D1388" s="33">
        <v>0</v>
      </c>
      <c r="E1388" s="33">
        <v>0</v>
      </c>
      <c r="F1388" s="31">
        <v>0.45833333333333331</v>
      </c>
      <c r="G1388" s="31">
        <v>0.875</v>
      </c>
    </row>
    <row r="1389" spans="2:7">
      <c r="B1389" s="2">
        <v>46314</v>
      </c>
      <c r="C1389" s="33">
        <v>1</v>
      </c>
      <c r="D1389" s="33">
        <v>0</v>
      </c>
      <c r="E1389" s="33">
        <v>0</v>
      </c>
      <c r="F1389" s="31">
        <v>0.41666666666666669</v>
      </c>
      <c r="G1389" s="31">
        <v>0.91666666666666663</v>
      </c>
    </row>
    <row r="1390" spans="2:7">
      <c r="B1390" s="2">
        <v>46315</v>
      </c>
      <c r="C1390" s="33">
        <v>1</v>
      </c>
      <c r="D1390" s="33">
        <v>0</v>
      </c>
      <c r="E1390" s="33">
        <v>0</v>
      </c>
      <c r="F1390" s="31">
        <v>0.41666666666666669</v>
      </c>
      <c r="G1390" s="31">
        <v>0.91666666666666663</v>
      </c>
    </row>
    <row r="1391" spans="2:7">
      <c r="B1391" s="2">
        <v>46316</v>
      </c>
      <c r="C1391" s="33">
        <v>1</v>
      </c>
      <c r="D1391" s="33">
        <v>0</v>
      </c>
      <c r="E1391" s="33">
        <v>0</v>
      </c>
      <c r="F1391" s="31">
        <v>0.41666666666666669</v>
      </c>
      <c r="G1391" s="31">
        <v>0.91666666666666663</v>
      </c>
    </row>
    <row r="1392" spans="2:7">
      <c r="B1392" s="2">
        <v>46317</v>
      </c>
      <c r="C1392" s="33">
        <v>1</v>
      </c>
      <c r="D1392" s="33">
        <v>0</v>
      </c>
      <c r="E1392" s="33">
        <v>0</v>
      </c>
      <c r="F1392" s="31">
        <v>0.41666666666666669</v>
      </c>
      <c r="G1392" s="31">
        <v>0.91666666666666663</v>
      </c>
    </row>
    <row r="1393" spans="2:7">
      <c r="B1393" s="2">
        <v>46318</v>
      </c>
      <c r="C1393" s="33">
        <v>1</v>
      </c>
      <c r="D1393" s="33">
        <v>0</v>
      </c>
      <c r="E1393" s="33">
        <v>0</v>
      </c>
      <c r="F1393" s="31">
        <v>0.41666666666666669</v>
      </c>
      <c r="G1393" s="31">
        <v>0.91666666666666663</v>
      </c>
    </row>
    <row r="1394" spans="2:7">
      <c r="B1394" s="2">
        <v>46319</v>
      </c>
      <c r="C1394" s="33">
        <v>1</v>
      </c>
      <c r="D1394" s="33">
        <v>0</v>
      </c>
      <c r="E1394" s="33">
        <v>0</v>
      </c>
      <c r="F1394" s="31">
        <v>0.41666666666666669</v>
      </c>
      <c r="G1394" s="31">
        <v>0.91666666666666663</v>
      </c>
    </row>
    <row r="1395" spans="2:7">
      <c r="B1395" s="2">
        <v>46320</v>
      </c>
      <c r="C1395" s="33">
        <v>1</v>
      </c>
      <c r="D1395" s="33">
        <v>0</v>
      </c>
      <c r="E1395" s="33">
        <v>0</v>
      </c>
      <c r="F1395" s="31">
        <v>0.45833333333333331</v>
      </c>
      <c r="G1395" s="31">
        <v>0.875</v>
      </c>
    </row>
    <row r="1396" spans="2:7">
      <c r="B1396" s="2">
        <v>46321</v>
      </c>
      <c r="C1396" s="33">
        <v>1</v>
      </c>
      <c r="D1396" s="33">
        <v>0</v>
      </c>
      <c r="E1396" s="33">
        <v>0</v>
      </c>
      <c r="F1396" s="31">
        <v>0.41666666666666669</v>
      </c>
      <c r="G1396" s="31">
        <v>0.91666666666666663</v>
      </c>
    </row>
    <row r="1397" spans="2:7">
      <c r="B1397" s="2">
        <v>46322</v>
      </c>
      <c r="C1397" s="33">
        <v>1</v>
      </c>
      <c r="D1397" s="33">
        <v>0</v>
      </c>
      <c r="E1397" s="33">
        <v>0</v>
      </c>
      <c r="F1397" s="31">
        <v>0.41666666666666669</v>
      </c>
      <c r="G1397" s="31">
        <v>0.91666666666666663</v>
      </c>
    </row>
    <row r="1398" spans="2:7">
      <c r="B1398" s="2">
        <v>46323</v>
      </c>
      <c r="C1398" s="33">
        <v>1</v>
      </c>
      <c r="D1398" s="33">
        <v>0</v>
      </c>
      <c r="E1398" s="33">
        <v>0</v>
      </c>
      <c r="F1398" s="31">
        <v>0.41666666666666669</v>
      </c>
      <c r="G1398" s="31">
        <v>0.91666666666666663</v>
      </c>
    </row>
    <row r="1399" spans="2:7">
      <c r="B1399" s="2">
        <v>46324</v>
      </c>
      <c r="C1399" s="33">
        <v>1</v>
      </c>
      <c r="D1399" s="33">
        <v>0</v>
      </c>
      <c r="E1399" s="33">
        <v>0</v>
      </c>
      <c r="F1399" s="31">
        <v>0.41666666666666669</v>
      </c>
      <c r="G1399" s="31">
        <v>0.91666666666666663</v>
      </c>
    </row>
    <row r="1400" spans="2:7">
      <c r="B1400" s="2">
        <v>46325</v>
      </c>
      <c r="C1400" s="33">
        <v>1</v>
      </c>
      <c r="D1400" s="33">
        <v>0</v>
      </c>
      <c r="E1400" s="33">
        <v>0</v>
      </c>
      <c r="F1400" s="31">
        <v>0.41666666666666669</v>
      </c>
      <c r="G1400" s="31">
        <v>0.91666666666666663</v>
      </c>
    </row>
    <row r="1401" spans="2:7">
      <c r="B1401" s="2">
        <v>46326</v>
      </c>
      <c r="C1401" s="33">
        <v>1</v>
      </c>
      <c r="D1401" s="33">
        <v>0</v>
      </c>
      <c r="E1401" s="33">
        <v>0</v>
      </c>
      <c r="F1401" s="31">
        <v>0.41666666666666669</v>
      </c>
      <c r="G1401" s="31">
        <v>0.91666666666666663</v>
      </c>
    </row>
    <row r="1402" spans="2:7">
      <c r="B1402" s="2">
        <v>46327</v>
      </c>
      <c r="C1402" s="33">
        <v>1</v>
      </c>
      <c r="D1402" s="33">
        <v>0</v>
      </c>
      <c r="E1402" s="33">
        <v>0</v>
      </c>
      <c r="F1402" s="31">
        <v>0.45833333333333331</v>
      </c>
      <c r="G1402" s="31">
        <v>0.875</v>
      </c>
    </row>
    <row r="1403" spans="2:7">
      <c r="B1403" s="2">
        <v>46328</v>
      </c>
      <c r="C1403" s="33">
        <v>1</v>
      </c>
      <c r="D1403" s="33">
        <v>0</v>
      </c>
      <c r="E1403" s="33">
        <v>0</v>
      </c>
      <c r="F1403" s="31">
        <v>0.41666666666666669</v>
      </c>
      <c r="G1403" s="31">
        <v>0.91666666666666663</v>
      </c>
    </row>
    <row r="1404" spans="2:7">
      <c r="B1404" s="2">
        <v>46329</v>
      </c>
      <c r="C1404" s="33">
        <v>1</v>
      </c>
      <c r="D1404" s="33">
        <v>0</v>
      </c>
      <c r="E1404" s="33">
        <v>0</v>
      </c>
      <c r="F1404" s="31">
        <v>0.41666666666666669</v>
      </c>
      <c r="G1404" s="31">
        <v>0.91666666666666663</v>
      </c>
    </row>
    <row r="1405" spans="2:7">
      <c r="B1405" s="2">
        <v>46330</v>
      </c>
      <c r="C1405" s="33">
        <v>1</v>
      </c>
      <c r="D1405" s="33">
        <v>0</v>
      </c>
      <c r="E1405" s="33">
        <v>0</v>
      </c>
      <c r="F1405" s="31">
        <v>0.41666666666666669</v>
      </c>
      <c r="G1405" s="31">
        <v>0.91666666666666663</v>
      </c>
    </row>
    <row r="1406" spans="2:7">
      <c r="B1406" s="2">
        <v>46331</v>
      </c>
      <c r="C1406" s="33">
        <v>1</v>
      </c>
      <c r="D1406" s="33">
        <v>0</v>
      </c>
      <c r="E1406" s="33">
        <v>0</v>
      </c>
      <c r="F1406" s="31">
        <v>0.41666666666666669</v>
      </c>
      <c r="G1406" s="31">
        <v>0.91666666666666663</v>
      </c>
    </row>
    <row r="1407" spans="2:7">
      <c r="B1407" s="2">
        <v>46332</v>
      </c>
      <c r="C1407" s="33">
        <v>1</v>
      </c>
      <c r="D1407" s="33">
        <v>0</v>
      </c>
      <c r="E1407" s="33">
        <v>0</v>
      </c>
      <c r="F1407" s="31">
        <v>0.41666666666666669</v>
      </c>
      <c r="G1407" s="31">
        <v>0.91666666666666663</v>
      </c>
    </row>
    <row r="1408" spans="2:7">
      <c r="B1408" s="2">
        <v>46333</v>
      </c>
      <c r="C1408" s="33">
        <v>1</v>
      </c>
      <c r="D1408" s="33">
        <v>0</v>
      </c>
      <c r="E1408" s="33">
        <v>0</v>
      </c>
      <c r="F1408" s="31">
        <v>0.41666666666666669</v>
      </c>
      <c r="G1408" s="31">
        <v>0.91666666666666663</v>
      </c>
    </row>
    <row r="1409" spans="2:7">
      <c r="B1409" s="2">
        <v>46334</v>
      </c>
      <c r="C1409" s="33">
        <v>1</v>
      </c>
      <c r="D1409" s="33">
        <v>0</v>
      </c>
      <c r="E1409" s="33">
        <v>0</v>
      </c>
      <c r="F1409" s="31">
        <v>0.45833333333333331</v>
      </c>
      <c r="G1409" s="31">
        <v>0.875</v>
      </c>
    </row>
    <row r="1410" spans="2:7">
      <c r="B1410" s="2">
        <v>46335</v>
      </c>
      <c r="C1410" s="33">
        <v>1</v>
      </c>
      <c r="D1410" s="33">
        <v>0</v>
      </c>
      <c r="E1410" s="33">
        <v>0</v>
      </c>
      <c r="F1410" s="31">
        <v>0.41666666666666669</v>
      </c>
      <c r="G1410" s="31">
        <v>0.91666666666666663</v>
      </c>
    </row>
    <row r="1411" spans="2:7">
      <c r="B1411" s="2">
        <v>46336</v>
      </c>
      <c r="C1411" s="33">
        <v>1</v>
      </c>
      <c r="D1411" s="33">
        <v>0</v>
      </c>
      <c r="E1411" s="33">
        <v>0</v>
      </c>
      <c r="F1411" s="31">
        <v>0.41666666666666669</v>
      </c>
      <c r="G1411" s="31">
        <v>0.91666666666666663</v>
      </c>
    </row>
    <row r="1412" spans="2:7">
      <c r="B1412" s="2">
        <v>46337</v>
      </c>
      <c r="C1412" s="33">
        <v>1</v>
      </c>
      <c r="D1412" s="33">
        <v>0</v>
      </c>
      <c r="E1412" s="33">
        <v>0</v>
      </c>
      <c r="F1412" s="31">
        <v>0.41666666666666669</v>
      </c>
      <c r="G1412" s="31">
        <v>0.91666666666666663</v>
      </c>
    </row>
    <row r="1413" spans="2:7">
      <c r="B1413" s="2">
        <v>46338</v>
      </c>
      <c r="C1413" s="33">
        <v>1</v>
      </c>
      <c r="D1413" s="33">
        <v>0</v>
      </c>
      <c r="E1413" s="33">
        <v>0</v>
      </c>
      <c r="F1413" s="31">
        <v>0.41666666666666669</v>
      </c>
      <c r="G1413" s="31">
        <v>0.91666666666666663</v>
      </c>
    </row>
    <row r="1414" spans="2:7">
      <c r="B1414" s="2">
        <v>46339</v>
      </c>
      <c r="C1414" s="33">
        <v>1</v>
      </c>
      <c r="D1414" s="33">
        <v>0</v>
      </c>
      <c r="E1414" s="33">
        <v>0</v>
      </c>
      <c r="F1414" s="31">
        <v>0.41666666666666669</v>
      </c>
      <c r="G1414" s="31">
        <v>0.91666666666666663</v>
      </c>
    </row>
    <row r="1415" spans="2:7">
      <c r="B1415" s="2">
        <v>46340</v>
      </c>
      <c r="C1415" s="33">
        <v>1</v>
      </c>
      <c r="D1415" s="33">
        <v>0</v>
      </c>
      <c r="E1415" s="33">
        <v>0</v>
      </c>
      <c r="F1415" s="31">
        <v>0.41666666666666669</v>
      </c>
      <c r="G1415" s="31">
        <v>0.91666666666666663</v>
      </c>
    </row>
    <row r="1416" spans="2:7">
      <c r="B1416" s="2">
        <v>46341</v>
      </c>
      <c r="C1416" s="33">
        <v>1</v>
      </c>
      <c r="D1416" s="33">
        <v>0</v>
      </c>
      <c r="E1416" s="33">
        <v>0</v>
      </c>
      <c r="F1416" s="31">
        <v>0.45833333333333331</v>
      </c>
      <c r="G1416" s="31">
        <v>0.875</v>
      </c>
    </row>
    <row r="1417" spans="2:7">
      <c r="B1417" s="2">
        <v>46342</v>
      </c>
      <c r="C1417" s="33">
        <v>1</v>
      </c>
      <c r="D1417" s="33">
        <v>0</v>
      </c>
      <c r="E1417" s="33">
        <v>0</v>
      </c>
      <c r="F1417" s="31">
        <v>0.41666666666666669</v>
      </c>
      <c r="G1417" s="31">
        <v>0.91666666666666663</v>
      </c>
    </row>
    <row r="1418" spans="2:7">
      <c r="B1418" s="2">
        <v>46343</v>
      </c>
      <c r="C1418" s="33">
        <v>1</v>
      </c>
      <c r="D1418" s="33">
        <v>0</v>
      </c>
      <c r="E1418" s="33">
        <v>0</v>
      </c>
      <c r="F1418" s="31">
        <v>0.41666666666666669</v>
      </c>
      <c r="G1418" s="31">
        <v>0.91666666666666663</v>
      </c>
    </row>
    <row r="1419" spans="2:7">
      <c r="B1419" s="2">
        <v>46344</v>
      </c>
      <c r="C1419" s="33">
        <v>1</v>
      </c>
      <c r="D1419" s="33">
        <v>0</v>
      </c>
      <c r="E1419" s="33">
        <v>0</v>
      </c>
      <c r="F1419" s="31">
        <v>0.41666666666666669</v>
      </c>
      <c r="G1419" s="31">
        <v>0.91666666666666663</v>
      </c>
    </row>
    <row r="1420" spans="2:7">
      <c r="B1420" s="2">
        <v>46345</v>
      </c>
      <c r="C1420" s="33">
        <v>1</v>
      </c>
      <c r="D1420" s="33">
        <v>0</v>
      </c>
      <c r="E1420" s="33">
        <v>0</v>
      </c>
      <c r="F1420" s="31">
        <v>0.41666666666666669</v>
      </c>
      <c r="G1420" s="31">
        <v>0.91666666666666663</v>
      </c>
    </row>
    <row r="1421" spans="2:7">
      <c r="B1421" s="2">
        <v>46346</v>
      </c>
      <c r="C1421" s="33">
        <v>1</v>
      </c>
      <c r="D1421" s="33">
        <v>0</v>
      </c>
      <c r="E1421" s="33">
        <v>0</v>
      </c>
      <c r="F1421" s="31">
        <v>0.41666666666666669</v>
      </c>
      <c r="G1421" s="31">
        <v>0.91666666666666663</v>
      </c>
    </row>
    <row r="1422" spans="2:7">
      <c r="B1422" s="2">
        <v>46347</v>
      </c>
      <c r="C1422" s="33">
        <v>1</v>
      </c>
      <c r="D1422" s="33">
        <v>0</v>
      </c>
      <c r="E1422" s="33">
        <v>0</v>
      </c>
      <c r="F1422" s="31">
        <v>0.41666666666666669</v>
      </c>
      <c r="G1422" s="31">
        <v>0.91666666666666663</v>
      </c>
    </row>
    <row r="1423" spans="2:7">
      <c r="B1423" s="2">
        <v>46348</v>
      </c>
      <c r="C1423" s="33">
        <v>1</v>
      </c>
      <c r="D1423" s="33">
        <v>0</v>
      </c>
      <c r="E1423" s="33">
        <v>0</v>
      </c>
      <c r="F1423" s="31">
        <v>0.45833333333333331</v>
      </c>
      <c r="G1423" s="31">
        <v>0.875</v>
      </c>
    </row>
    <row r="1424" spans="2:7">
      <c r="B1424" s="2">
        <v>46349</v>
      </c>
      <c r="C1424" s="33">
        <v>1</v>
      </c>
      <c r="D1424" s="33">
        <v>0</v>
      </c>
      <c r="E1424" s="33">
        <v>0</v>
      </c>
      <c r="F1424" s="31">
        <v>0.41666666666666669</v>
      </c>
      <c r="G1424" s="31">
        <v>0.91666666666666663</v>
      </c>
    </row>
    <row r="1425" spans="2:7">
      <c r="B1425" s="2">
        <v>46350</v>
      </c>
      <c r="C1425" s="33">
        <v>1</v>
      </c>
      <c r="D1425" s="33">
        <v>0</v>
      </c>
      <c r="E1425" s="33">
        <v>0</v>
      </c>
      <c r="F1425" s="31">
        <v>0.41666666666666669</v>
      </c>
      <c r="G1425" s="31">
        <v>0.91666666666666663</v>
      </c>
    </row>
    <row r="1426" spans="2:7">
      <c r="B1426" s="2">
        <v>46351</v>
      </c>
      <c r="C1426" s="33">
        <v>1</v>
      </c>
      <c r="D1426" s="33">
        <v>0</v>
      </c>
      <c r="E1426" s="33">
        <v>0</v>
      </c>
      <c r="F1426" s="31">
        <v>0.41666666666666669</v>
      </c>
      <c r="G1426" s="31">
        <v>0.91666666666666663</v>
      </c>
    </row>
    <row r="1427" spans="2:7">
      <c r="B1427" s="2">
        <v>46352</v>
      </c>
      <c r="C1427" s="33">
        <v>1</v>
      </c>
      <c r="D1427" s="33">
        <v>0</v>
      </c>
      <c r="E1427" s="33">
        <v>0</v>
      </c>
      <c r="F1427" s="31">
        <v>0.41666666666666669</v>
      </c>
      <c r="G1427" s="31">
        <v>0.91666666666666663</v>
      </c>
    </row>
    <row r="1428" spans="2:7">
      <c r="B1428" s="2">
        <v>46353</v>
      </c>
      <c r="C1428" s="33">
        <v>1</v>
      </c>
      <c r="D1428" s="33">
        <v>0</v>
      </c>
      <c r="E1428" s="33">
        <v>0</v>
      </c>
      <c r="F1428" s="31">
        <v>0.41666666666666669</v>
      </c>
      <c r="G1428" s="31">
        <v>0.91666666666666663</v>
      </c>
    </row>
    <row r="1429" spans="2:7">
      <c r="B1429" s="2">
        <v>46354</v>
      </c>
      <c r="C1429" s="33">
        <v>1</v>
      </c>
      <c r="D1429" s="33">
        <v>0</v>
      </c>
      <c r="E1429" s="33">
        <v>0</v>
      </c>
      <c r="F1429" s="31">
        <v>0.41666666666666669</v>
      </c>
      <c r="G1429" s="31">
        <v>0.91666666666666663</v>
      </c>
    </row>
    <row r="1430" spans="2:7">
      <c r="B1430" s="2">
        <v>46355</v>
      </c>
      <c r="C1430" s="33">
        <v>1</v>
      </c>
      <c r="D1430" s="33">
        <v>0</v>
      </c>
      <c r="E1430" s="33">
        <v>0</v>
      </c>
      <c r="F1430" s="31">
        <v>0.41666666666666669</v>
      </c>
      <c r="G1430" s="31">
        <v>0.91666666666666663</v>
      </c>
    </row>
    <row r="1431" spans="2:7">
      <c r="B1431" s="2">
        <v>46356</v>
      </c>
      <c r="C1431" s="33">
        <v>1</v>
      </c>
      <c r="D1431" s="33">
        <v>0</v>
      </c>
      <c r="E1431" s="33">
        <v>0</v>
      </c>
      <c r="F1431" s="31">
        <v>0.41666666666666669</v>
      </c>
      <c r="G1431" s="31">
        <v>0.91666666666666663</v>
      </c>
    </row>
    <row r="1432" spans="2:7">
      <c r="B1432" s="2">
        <v>46357</v>
      </c>
      <c r="C1432" s="33">
        <v>1</v>
      </c>
      <c r="D1432" s="33">
        <v>0</v>
      </c>
      <c r="E1432" s="33">
        <v>0</v>
      </c>
      <c r="F1432" s="31">
        <v>0.41666666666666669</v>
      </c>
      <c r="G1432" s="31">
        <v>0.91666666666666663</v>
      </c>
    </row>
    <row r="1433" spans="2:7">
      <c r="B1433" s="2">
        <v>46358</v>
      </c>
      <c r="C1433" s="33">
        <v>1</v>
      </c>
      <c r="D1433" s="33">
        <v>0</v>
      </c>
      <c r="E1433" s="33">
        <v>0</v>
      </c>
      <c r="F1433" s="31">
        <v>0.41666666666666669</v>
      </c>
      <c r="G1433" s="31">
        <v>0.91666666666666663</v>
      </c>
    </row>
    <row r="1434" spans="2:7">
      <c r="B1434" s="2">
        <v>46359</v>
      </c>
      <c r="C1434" s="33">
        <v>1</v>
      </c>
      <c r="D1434" s="33">
        <v>0</v>
      </c>
      <c r="E1434" s="33">
        <v>0</v>
      </c>
      <c r="F1434" s="31">
        <v>0.41666666666666669</v>
      </c>
      <c r="G1434" s="31">
        <v>0.91666666666666663</v>
      </c>
    </row>
    <row r="1435" spans="2:7">
      <c r="B1435" s="2">
        <v>46360</v>
      </c>
      <c r="C1435" s="33">
        <v>1</v>
      </c>
      <c r="D1435" s="33">
        <v>0</v>
      </c>
      <c r="E1435" s="33">
        <v>0</v>
      </c>
      <c r="F1435" s="31">
        <v>0.41666666666666669</v>
      </c>
      <c r="G1435" s="31">
        <v>0.91666666666666663</v>
      </c>
    </row>
    <row r="1436" spans="2:7">
      <c r="B1436" s="2">
        <v>46361</v>
      </c>
      <c r="C1436" s="33">
        <v>1</v>
      </c>
      <c r="D1436" s="33">
        <v>0</v>
      </c>
      <c r="E1436" s="33">
        <v>0</v>
      </c>
      <c r="F1436" s="31">
        <v>0.41666666666666669</v>
      </c>
      <c r="G1436" s="31">
        <v>0.91666666666666663</v>
      </c>
    </row>
    <row r="1437" spans="2:7">
      <c r="B1437" s="2">
        <v>46362</v>
      </c>
      <c r="C1437" s="33">
        <v>1</v>
      </c>
      <c r="D1437" s="33">
        <v>0</v>
      </c>
      <c r="E1437" s="33">
        <v>0</v>
      </c>
      <c r="F1437" s="31">
        <v>0.41666666666666669</v>
      </c>
      <c r="G1437" s="31">
        <v>0.91666666666666663</v>
      </c>
    </row>
    <row r="1438" spans="2:7">
      <c r="B1438" s="2">
        <v>46363</v>
      </c>
      <c r="C1438" s="33">
        <v>1</v>
      </c>
      <c r="D1438" s="33">
        <v>0</v>
      </c>
      <c r="E1438" s="33">
        <v>0</v>
      </c>
      <c r="F1438" s="31">
        <v>0.41666666666666669</v>
      </c>
      <c r="G1438" s="31">
        <v>0.91666666666666663</v>
      </c>
    </row>
    <row r="1439" spans="2:7">
      <c r="B1439" s="2">
        <v>46364</v>
      </c>
      <c r="C1439" s="33">
        <v>1</v>
      </c>
      <c r="D1439" s="33">
        <v>0</v>
      </c>
      <c r="E1439" s="33">
        <v>0</v>
      </c>
      <c r="F1439" s="31">
        <v>0.41666666666666669</v>
      </c>
      <c r="G1439" s="31">
        <v>0.91666666666666663</v>
      </c>
    </row>
    <row r="1440" spans="2:7">
      <c r="B1440" s="2">
        <v>46365</v>
      </c>
      <c r="C1440" s="33">
        <v>1</v>
      </c>
      <c r="D1440" s="33">
        <v>0</v>
      </c>
      <c r="E1440" s="33">
        <v>0</v>
      </c>
      <c r="F1440" s="31">
        <v>0.41666666666666669</v>
      </c>
      <c r="G1440" s="31">
        <v>0.91666666666666663</v>
      </c>
    </row>
    <row r="1441" spans="2:7">
      <c r="B1441" s="2">
        <v>46366</v>
      </c>
      <c r="C1441" s="33">
        <v>1</v>
      </c>
      <c r="D1441" s="33">
        <v>0</v>
      </c>
      <c r="E1441" s="33">
        <v>0</v>
      </c>
      <c r="F1441" s="31">
        <v>0.41666666666666669</v>
      </c>
      <c r="G1441" s="31">
        <v>0.91666666666666663</v>
      </c>
    </row>
    <row r="1442" spans="2:7">
      <c r="B1442" s="2">
        <v>46367</v>
      </c>
      <c r="C1442" s="33">
        <v>1</v>
      </c>
      <c r="D1442" s="33">
        <v>0</v>
      </c>
      <c r="E1442" s="33">
        <v>0</v>
      </c>
      <c r="F1442" s="31">
        <v>0.41666666666666669</v>
      </c>
      <c r="G1442" s="31">
        <v>0.91666666666666663</v>
      </c>
    </row>
    <row r="1443" spans="2:7">
      <c r="B1443" s="2">
        <v>46368</v>
      </c>
      <c r="C1443" s="33">
        <v>1</v>
      </c>
      <c r="D1443" s="33">
        <v>0</v>
      </c>
      <c r="E1443" s="33">
        <v>0</v>
      </c>
      <c r="F1443" s="31">
        <v>0.41666666666666669</v>
      </c>
      <c r="G1443" s="31">
        <v>0.91666666666666663</v>
      </c>
    </row>
    <row r="1444" spans="2:7">
      <c r="B1444" s="2">
        <v>46369</v>
      </c>
      <c r="C1444" s="33">
        <v>1</v>
      </c>
      <c r="D1444" s="33">
        <v>0</v>
      </c>
      <c r="E1444" s="33">
        <v>0</v>
      </c>
      <c r="F1444" s="31">
        <v>0.41666666666666669</v>
      </c>
      <c r="G1444" s="31">
        <v>0.91666666666666663</v>
      </c>
    </row>
    <row r="1445" spans="2:7">
      <c r="B1445" s="2">
        <v>46370</v>
      </c>
      <c r="C1445" s="33">
        <v>1</v>
      </c>
      <c r="D1445" s="33">
        <v>0</v>
      </c>
      <c r="E1445" s="33">
        <v>0</v>
      </c>
      <c r="F1445" s="31">
        <v>0.41666666666666669</v>
      </c>
      <c r="G1445" s="31">
        <v>0.91666666666666663</v>
      </c>
    </row>
    <row r="1446" spans="2:7">
      <c r="B1446" s="2">
        <v>46371</v>
      </c>
      <c r="C1446" s="33">
        <v>1</v>
      </c>
      <c r="D1446" s="33">
        <v>0</v>
      </c>
      <c r="E1446" s="33">
        <v>0</v>
      </c>
      <c r="F1446" s="31">
        <v>0.41666666666666669</v>
      </c>
      <c r="G1446" s="31">
        <v>0.91666666666666663</v>
      </c>
    </row>
    <row r="1447" spans="2:7">
      <c r="B1447" s="2">
        <v>46372</v>
      </c>
      <c r="C1447" s="33">
        <v>1</v>
      </c>
      <c r="D1447" s="33">
        <v>0</v>
      </c>
      <c r="E1447" s="33">
        <v>0</v>
      </c>
      <c r="F1447" s="31">
        <v>0.41666666666666669</v>
      </c>
      <c r="G1447" s="31">
        <v>0.91666666666666663</v>
      </c>
    </row>
    <row r="1448" spans="2:7">
      <c r="B1448" s="2">
        <v>46373</v>
      </c>
      <c r="C1448" s="33">
        <v>1</v>
      </c>
      <c r="D1448" s="33">
        <v>0</v>
      </c>
      <c r="E1448" s="33">
        <v>0</v>
      </c>
      <c r="F1448" s="31">
        <v>0.41666666666666669</v>
      </c>
      <c r="G1448" s="31">
        <v>0.91666666666666663</v>
      </c>
    </row>
    <row r="1449" spans="2:7">
      <c r="B1449" s="2">
        <v>46374</v>
      </c>
      <c r="C1449" s="33">
        <v>1</v>
      </c>
      <c r="D1449" s="33">
        <v>0</v>
      </c>
      <c r="E1449" s="33">
        <v>0</v>
      </c>
      <c r="F1449" s="31">
        <v>0.41666666666666669</v>
      </c>
      <c r="G1449" s="31">
        <v>0.91666666666666663</v>
      </c>
    </row>
    <row r="1450" spans="2:7">
      <c r="B1450" s="2">
        <v>46375</v>
      </c>
      <c r="C1450" s="33">
        <v>1</v>
      </c>
      <c r="D1450" s="33">
        <v>0</v>
      </c>
      <c r="E1450" s="33">
        <v>0</v>
      </c>
      <c r="F1450" s="31">
        <v>0.41666666666666669</v>
      </c>
      <c r="G1450" s="31">
        <v>0.91666666666666663</v>
      </c>
    </row>
    <row r="1451" spans="2:7">
      <c r="B1451" s="2">
        <v>46376</v>
      </c>
      <c r="C1451" s="33">
        <v>1</v>
      </c>
      <c r="D1451" s="33">
        <v>0</v>
      </c>
      <c r="E1451" s="33">
        <v>0</v>
      </c>
      <c r="F1451" s="31">
        <v>0.41666666666666669</v>
      </c>
      <c r="G1451" s="31">
        <v>0.91666666666666663</v>
      </c>
    </row>
    <row r="1452" spans="2:7">
      <c r="B1452" s="2">
        <v>46377</v>
      </c>
      <c r="C1452" s="33">
        <v>1</v>
      </c>
      <c r="D1452" s="33">
        <v>0</v>
      </c>
      <c r="E1452" s="33">
        <v>0</v>
      </c>
      <c r="F1452" s="31">
        <v>0.41666666666666669</v>
      </c>
      <c r="G1452" s="31">
        <v>0.91666666666666663</v>
      </c>
    </row>
    <row r="1453" spans="2:7">
      <c r="B1453" s="2">
        <v>46378</v>
      </c>
      <c r="C1453" s="33">
        <v>1</v>
      </c>
      <c r="D1453" s="33">
        <v>0</v>
      </c>
      <c r="E1453" s="33">
        <v>0</v>
      </c>
      <c r="F1453" s="31">
        <v>0.41666666666666669</v>
      </c>
      <c r="G1453" s="31">
        <v>0.91666666666666663</v>
      </c>
    </row>
    <row r="1454" spans="2:7">
      <c r="B1454" s="2">
        <v>46379</v>
      </c>
      <c r="C1454" s="33">
        <v>1</v>
      </c>
      <c r="D1454" s="33">
        <v>0</v>
      </c>
      <c r="E1454" s="33">
        <v>0</v>
      </c>
      <c r="F1454" s="31">
        <v>0.41666666666666669</v>
      </c>
      <c r="G1454" s="31">
        <v>0.91666666666666663</v>
      </c>
    </row>
    <row r="1455" spans="2:7">
      <c r="B1455" s="2">
        <v>46380</v>
      </c>
      <c r="C1455" s="33">
        <v>1</v>
      </c>
      <c r="D1455" s="33">
        <v>0</v>
      </c>
      <c r="E1455" s="33">
        <v>0</v>
      </c>
      <c r="F1455" s="31">
        <v>0.41666666666666669</v>
      </c>
      <c r="G1455" s="31">
        <v>0.91666666666666663</v>
      </c>
    </row>
    <row r="1456" spans="2:7">
      <c r="B1456" s="2">
        <v>46381</v>
      </c>
      <c r="C1456" s="33">
        <v>0</v>
      </c>
      <c r="D1456" s="33">
        <v>1</v>
      </c>
      <c r="E1456" s="33">
        <v>0</v>
      </c>
    </row>
    <row r="1457" spans="2:7">
      <c r="B1457" s="2">
        <v>46382</v>
      </c>
      <c r="C1457" s="33">
        <v>1</v>
      </c>
      <c r="D1457" s="33">
        <v>0</v>
      </c>
      <c r="E1457" s="33">
        <v>1</v>
      </c>
      <c r="F1457" s="31">
        <v>0.41666666666666669</v>
      </c>
      <c r="G1457" s="31">
        <v>0.91666666666666663</v>
      </c>
    </row>
    <row r="1458" spans="2:7">
      <c r="B1458" s="2">
        <v>46383</v>
      </c>
      <c r="C1458" s="33">
        <v>1</v>
      </c>
      <c r="D1458" s="33">
        <v>0</v>
      </c>
      <c r="E1458" s="33">
        <v>0</v>
      </c>
      <c r="F1458" s="31">
        <v>0.41666666666666669</v>
      </c>
      <c r="G1458" s="31">
        <v>0.91666666666666663</v>
      </c>
    </row>
    <row r="1459" spans="2:7">
      <c r="B1459" s="2">
        <v>46384</v>
      </c>
      <c r="C1459" s="33">
        <v>1</v>
      </c>
      <c r="D1459" s="33">
        <v>0</v>
      </c>
      <c r="E1459" s="33">
        <v>0</v>
      </c>
      <c r="F1459" s="31">
        <v>0.41666666666666669</v>
      </c>
      <c r="G1459" s="31">
        <v>0.91666666666666663</v>
      </c>
    </row>
    <row r="1460" spans="2:7">
      <c r="B1460" s="2">
        <v>46385</v>
      </c>
      <c r="C1460" s="33">
        <v>1</v>
      </c>
      <c r="D1460" s="33">
        <v>0</v>
      </c>
      <c r="E1460" s="33">
        <v>0</v>
      </c>
      <c r="F1460" s="31">
        <v>0.41666666666666669</v>
      </c>
      <c r="G1460" s="31">
        <v>0.91666666666666663</v>
      </c>
    </row>
    <row r="1461" spans="2:7">
      <c r="B1461" s="2">
        <v>46386</v>
      </c>
      <c r="C1461" s="33">
        <v>1</v>
      </c>
      <c r="D1461" s="33">
        <v>0</v>
      </c>
      <c r="E1461" s="33">
        <v>0</v>
      </c>
      <c r="F1461" s="31">
        <v>0.41666666666666669</v>
      </c>
      <c r="G1461" s="31">
        <v>0.91666666666666663</v>
      </c>
    </row>
    <row r="1462" spans="2:7">
      <c r="B1462" s="2">
        <v>46387</v>
      </c>
      <c r="C1462" s="33">
        <v>1</v>
      </c>
      <c r="D1462" s="33">
        <v>0</v>
      </c>
      <c r="E1462" s="33">
        <v>0</v>
      </c>
      <c r="F1462" s="31">
        <v>0.41666666666666669</v>
      </c>
      <c r="G1462" s="31">
        <v>0.91666666666666663</v>
      </c>
    </row>
    <row r="1463" spans="2:7">
      <c r="B1463" s="4"/>
    </row>
  </sheetData>
  <phoneticPr fontId="8" type="noConversion"/>
  <conditionalFormatting sqref="C2:C1462">
    <cfRule type="cellIs" dxfId="11" priority="7" operator="equal">
      <formula>0</formula>
    </cfRule>
    <cfRule type="cellIs" dxfId="10" priority="8" operator="equal">
      <formula>1</formula>
    </cfRule>
  </conditionalFormatting>
  <conditionalFormatting sqref="D2:D1462">
    <cfRule type="cellIs" dxfId="9" priority="9" operator="equal">
      <formula>0</formula>
    </cfRule>
    <cfRule type="cellIs" dxfId="8" priority="10" operator="equal">
      <formula>1</formula>
    </cfRule>
  </conditionalFormatting>
  <conditionalFormatting sqref="E2:E1462">
    <cfRule type="cellIs" dxfId="7" priority="5" operator="equal">
      <formula>0</formula>
    </cfRule>
    <cfRule type="cellIs" dxfId="6" priority="6" operator="equal">
      <formula>1</formula>
    </cfRule>
  </conditionalFormatting>
  <conditionalFormatting sqref="F1:F1048576">
    <cfRule type="cellIs" dxfId="5" priority="4" operator="equal">
      <formula>0.458333333333333</formula>
    </cfRule>
  </conditionalFormatting>
  <conditionalFormatting sqref="F2:F1462">
    <cfRule type="cellIs" dxfId="4" priority="2" operator="equal">
      <formula>0</formula>
    </cfRule>
  </conditionalFormatting>
  <conditionalFormatting sqref="G2:G1462">
    <cfRule type="cellIs" dxfId="3" priority="1" operator="equal">
      <formula>0</formula>
    </cfRule>
    <cfRule type="cellIs" dxfId="2" priority="3" operator="equal">
      <formula>0.875</formula>
    </cfRule>
  </conditionalFormatting>
  <dataValidations count="1">
    <dataValidation type="list" allowBlank="1" showInputMessage="1" showErrorMessage="1" sqref="D2:D1462" xr:uid="{5DFA8CA7-61AC-6E4D-9DE7-D57A8A22E4AD}">
      <formula1>"1,0"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9A3F-BD47-8A46-A880-5422B6D67913}">
  <dimension ref="A1:E23"/>
  <sheetViews>
    <sheetView workbookViewId="0">
      <selection activeCell="A2" sqref="A2:E23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4" width="27" customWidth="1"/>
    <col min="5" max="5" width="27.5" customWidth="1"/>
    <col min="6" max="6" width="20" customWidth="1"/>
    <col min="7" max="7" width="21" customWidth="1"/>
  </cols>
  <sheetData>
    <row r="1" spans="1:5" ht="18">
      <c r="A1" s="8" t="s">
        <v>218</v>
      </c>
      <c r="B1" s="8" t="s">
        <v>211</v>
      </c>
      <c r="C1" s="8" t="s">
        <v>219</v>
      </c>
      <c r="D1" s="8" t="s">
        <v>220</v>
      </c>
      <c r="E1" s="8" t="s">
        <v>0</v>
      </c>
    </row>
    <row r="2" spans="1:5">
      <c r="A2" s="1"/>
      <c r="B2" s="4"/>
      <c r="C2" s="4"/>
      <c r="D2" s="4"/>
      <c r="E2" s="4"/>
    </row>
    <row r="3" spans="1:5">
      <c r="A3" s="1"/>
      <c r="B3" s="4"/>
      <c r="C3" s="4"/>
      <c r="D3" s="4"/>
      <c r="E3" s="4"/>
    </row>
    <row r="4" spans="1:5">
      <c r="A4" s="1"/>
      <c r="B4" s="4"/>
      <c r="C4" s="4"/>
      <c r="D4" s="4"/>
      <c r="E4" s="4"/>
    </row>
    <row r="5" spans="1:5">
      <c r="A5" s="1"/>
      <c r="B5" s="4"/>
      <c r="C5" s="4"/>
      <c r="D5" s="4"/>
      <c r="E5" s="4"/>
    </row>
    <row r="6" spans="1:5">
      <c r="A6" s="1"/>
      <c r="B6" s="4"/>
      <c r="C6" s="4"/>
      <c r="D6" s="4"/>
      <c r="E6" s="4"/>
    </row>
    <row r="7" spans="1:5">
      <c r="A7" s="1"/>
      <c r="B7" s="4"/>
      <c r="C7" s="4"/>
      <c r="D7" s="4"/>
      <c r="E7" s="4"/>
    </row>
    <row r="8" spans="1:5">
      <c r="A8" s="1"/>
      <c r="B8" s="4"/>
      <c r="C8" s="4"/>
      <c r="D8" s="4"/>
      <c r="E8" s="4"/>
    </row>
    <row r="9" spans="1:5">
      <c r="A9" s="1"/>
      <c r="B9" s="4"/>
      <c r="C9" s="4"/>
      <c r="D9" s="4"/>
      <c r="E9" s="4"/>
    </row>
    <row r="10" spans="1:5">
      <c r="A10" s="1"/>
      <c r="B10" s="4"/>
      <c r="C10" s="4"/>
      <c r="D10" s="4"/>
      <c r="E10" s="4"/>
    </row>
    <row r="11" spans="1:5">
      <c r="A11" s="1"/>
      <c r="B11" s="4"/>
      <c r="C11" s="4"/>
      <c r="D11" s="4"/>
      <c r="E11" s="4"/>
    </row>
    <row r="12" spans="1:5">
      <c r="A12" s="1"/>
      <c r="B12" s="4"/>
      <c r="C12" s="4"/>
      <c r="D12" s="4"/>
      <c r="E12" s="4"/>
    </row>
    <row r="13" spans="1:5">
      <c r="A13" s="1"/>
      <c r="B13" s="4"/>
      <c r="C13" s="4"/>
      <c r="D13" s="4"/>
      <c r="E13" s="4"/>
    </row>
    <row r="14" spans="1:5">
      <c r="A14" s="1"/>
      <c r="B14" s="4"/>
      <c r="C14" s="4"/>
      <c r="D14" s="4"/>
      <c r="E14" s="4"/>
    </row>
    <row r="15" spans="1:5">
      <c r="A15" s="1"/>
      <c r="B15" s="4"/>
      <c r="C15" s="4"/>
      <c r="D15" s="4"/>
      <c r="E15" s="4"/>
    </row>
    <row r="16" spans="1:5">
      <c r="A16" s="1"/>
      <c r="B16" s="4"/>
      <c r="C16" s="4"/>
      <c r="D16" s="4"/>
      <c r="E16" s="4"/>
    </row>
    <row r="17" spans="1:5">
      <c r="A17" s="1"/>
      <c r="B17" s="4"/>
      <c r="C17" s="4"/>
      <c r="D17" s="4"/>
      <c r="E17" s="4"/>
    </row>
    <row r="18" spans="1:5">
      <c r="A18" s="1"/>
      <c r="B18" s="4"/>
      <c r="C18" s="4"/>
      <c r="D18" s="4"/>
      <c r="E18" s="4"/>
    </row>
    <row r="19" spans="1:5">
      <c r="A19" s="1"/>
      <c r="B19" s="4"/>
      <c r="C19" s="4"/>
      <c r="D19" s="4"/>
      <c r="E19" s="4"/>
    </row>
    <row r="20" spans="1:5">
      <c r="A20" s="1"/>
      <c r="B20" s="4"/>
      <c r="C20" s="4"/>
      <c r="D20" s="4"/>
      <c r="E20" s="4"/>
    </row>
    <row r="21" spans="1:5">
      <c r="A21" s="1"/>
      <c r="B21" s="4"/>
      <c r="C21" s="4"/>
      <c r="D21" s="4"/>
      <c r="E21" s="4"/>
    </row>
    <row r="22" spans="1:5">
      <c r="A22" s="1"/>
      <c r="B22" s="4"/>
      <c r="C22" s="4"/>
      <c r="D22" s="4"/>
      <c r="E22" s="4"/>
    </row>
    <row r="23" spans="1:5">
      <c r="A23" s="1"/>
      <c r="B23" s="4"/>
      <c r="C23" s="4"/>
      <c r="D23" s="4"/>
      <c r="E23" s="4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7C035-74A1-7047-970F-9942218738FE}">
  <dimension ref="A1:F28"/>
  <sheetViews>
    <sheetView topLeftCell="B1" workbookViewId="0">
      <selection activeCell="H22" sqref="H22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5" width="27" customWidth="1"/>
    <col min="6" max="6" width="27.5" customWidth="1"/>
  </cols>
  <sheetData>
    <row r="1" spans="1:6" ht="18">
      <c r="A1" s="8" t="s">
        <v>221</v>
      </c>
      <c r="B1" s="8" t="s">
        <v>211</v>
      </c>
      <c r="C1" s="8" t="s">
        <v>168</v>
      </c>
      <c r="D1" s="8" t="s">
        <v>222</v>
      </c>
      <c r="E1" s="8" t="s">
        <v>220</v>
      </c>
      <c r="F1" s="8" t="s">
        <v>0</v>
      </c>
    </row>
    <row r="2" spans="1:6">
      <c r="A2" s="1"/>
      <c r="B2" s="4"/>
      <c r="C2" s="4"/>
      <c r="D2" s="4"/>
      <c r="E2" s="4"/>
      <c r="F2" s="1"/>
    </row>
    <row r="3" spans="1:6">
      <c r="A3" s="1"/>
      <c r="B3" s="4"/>
      <c r="C3" s="4"/>
      <c r="D3" s="4"/>
      <c r="E3" s="4"/>
      <c r="F3" s="1"/>
    </row>
    <row r="4" spans="1:6">
      <c r="A4" s="1"/>
      <c r="B4" s="4"/>
      <c r="C4" s="4"/>
      <c r="D4" s="4"/>
      <c r="E4" s="4"/>
      <c r="F4" s="1"/>
    </row>
    <row r="5" spans="1:6">
      <c r="A5" s="1"/>
      <c r="B5" s="4"/>
      <c r="C5" s="4"/>
      <c r="D5" s="4"/>
      <c r="E5" s="4"/>
      <c r="F5" s="1"/>
    </row>
    <row r="6" spans="1:6">
      <c r="A6" s="1"/>
      <c r="B6" s="4"/>
      <c r="C6" s="4"/>
      <c r="D6" s="4"/>
      <c r="E6" s="4"/>
      <c r="F6" s="1"/>
    </row>
    <row r="7" spans="1:6">
      <c r="A7" s="1"/>
      <c r="B7" s="4"/>
      <c r="C7" s="4"/>
      <c r="D7" s="4"/>
      <c r="E7" s="4"/>
      <c r="F7" s="1"/>
    </row>
    <row r="8" spans="1:6">
      <c r="A8" s="1"/>
      <c r="B8" s="4"/>
      <c r="C8" s="4"/>
      <c r="D8" s="4"/>
      <c r="E8" s="4"/>
      <c r="F8" s="1"/>
    </row>
    <row r="9" spans="1:6">
      <c r="A9" s="1"/>
      <c r="B9" s="4"/>
      <c r="C9" s="4"/>
      <c r="D9" s="4"/>
      <c r="E9" s="4"/>
      <c r="F9" s="1"/>
    </row>
    <row r="10" spans="1:6">
      <c r="A10" s="1"/>
      <c r="B10" s="4"/>
      <c r="C10" s="4"/>
      <c r="D10" s="4"/>
      <c r="E10" s="4"/>
      <c r="F10" s="1"/>
    </row>
    <row r="11" spans="1:6">
      <c r="A11" s="1"/>
      <c r="B11" s="4"/>
      <c r="C11" s="4"/>
      <c r="D11" s="4"/>
      <c r="E11" s="4"/>
      <c r="F11" s="1"/>
    </row>
    <row r="12" spans="1:6">
      <c r="A12" s="1"/>
      <c r="B12" s="4"/>
      <c r="C12" s="4"/>
      <c r="D12" s="4"/>
      <c r="E12" s="4"/>
      <c r="F12" s="1"/>
    </row>
    <row r="13" spans="1:6">
      <c r="A13" s="1"/>
      <c r="B13" s="4"/>
      <c r="C13" s="4"/>
      <c r="D13" s="4"/>
      <c r="E13" s="4"/>
      <c r="F13" s="1"/>
    </row>
    <row r="14" spans="1:6">
      <c r="A14" s="1"/>
      <c r="B14" s="4"/>
      <c r="C14" s="4"/>
      <c r="D14" s="4"/>
      <c r="E14" s="4"/>
      <c r="F14" s="1"/>
    </row>
    <row r="15" spans="1:6">
      <c r="A15" s="1"/>
      <c r="B15" s="4"/>
      <c r="C15" s="4"/>
      <c r="D15" s="4"/>
      <c r="E15" s="4"/>
      <c r="F15" s="1"/>
    </row>
    <row r="16" spans="1:6">
      <c r="A16" s="1"/>
      <c r="B16" s="4"/>
      <c r="C16" s="4"/>
      <c r="D16" s="4"/>
      <c r="E16" s="4"/>
      <c r="F16" s="1"/>
    </row>
    <row r="17" spans="1:6">
      <c r="A17" s="1"/>
      <c r="B17" s="4"/>
      <c r="C17" s="4"/>
      <c r="D17" s="4"/>
      <c r="E17" s="4"/>
      <c r="F17" s="1"/>
    </row>
    <row r="18" spans="1:6">
      <c r="A18" s="1"/>
      <c r="B18" s="4"/>
      <c r="C18" s="4"/>
      <c r="D18" s="4"/>
      <c r="E18" s="4"/>
      <c r="F18" s="1"/>
    </row>
    <row r="19" spans="1:6">
      <c r="A19" s="1"/>
      <c r="B19" s="4"/>
      <c r="C19" s="4"/>
      <c r="D19" s="4"/>
      <c r="E19" s="4"/>
      <c r="F19" s="1"/>
    </row>
    <row r="20" spans="1:6">
      <c r="A20" s="1"/>
      <c r="B20" s="4"/>
      <c r="C20" s="4"/>
      <c r="D20" s="4"/>
      <c r="E20" s="4"/>
      <c r="F20" s="1"/>
    </row>
    <row r="21" spans="1:6">
      <c r="A21" s="1"/>
      <c r="B21" s="4"/>
      <c r="C21" s="4"/>
      <c r="D21" s="4"/>
      <c r="E21" s="4"/>
      <c r="F21" s="1"/>
    </row>
    <row r="22" spans="1:6">
      <c r="A22" s="1"/>
      <c r="B22" s="4"/>
      <c r="C22" s="4"/>
      <c r="D22" s="4"/>
      <c r="E22" s="4"/>
      <c r="F22" s="1"/>
    </row>
    <row r="23" spans="1:6">
      <c r="A23" s="1"/>
      <c r="B23" s="4"/>
      <c r="C23" s="4"/>
      <c r="D23" s="4"/>
      <c r="E23" s="4"/>
      <c r="F23" s="1"/>
    </row>
    <row r="24" spans="1:6">
      <c r="A24" s="1"/>
      <c r="B24" s="4"/>
      <c r="C24" s="4"/>
      <c r="D24" s="4"/>
      <c r="E24" s="4"/>
      <c r="F24" s="1"/>
    </row>
    <row r="25" spans="1:6">
      <c r="A25" s="1"/>
      <c r="B25" s="4"/>
      <c r="C25" s="4"/>
      <c r="D25" s="4"/>
      <c r="E25" s="4"/>
      <c r="F25" s="1"/>
    </row>
    <row r="26" spans="1:6">
      <c r="A26" s="1"/>
      <c r="B26" s="4"/>
      <c r="C26" s="4"/>
      <c r="D26" s="4"/>
      <c r="E26" s="4"/>
      <c r="F26" s="1"/>
    </row>
    <row r="27" spans="1:6">
      <c r="A27" s="1"/>
      <c r="B27" s="4"/>
      <c r="C27" s="4"/>
      <c r="D27" s="4"/>
      <c r="E27" s="4"/>
      <c r="F27" s="1"/>
    </row>
    <row r="28" spans="1:6">
      <c r="A28" s="1"/>
      <c r="B28" s="4"/>
      <c r="C28" s="4"/>
      <c r="D28" s="4"/>
      <c r="E28" s="4"/>
      <c r="F2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Centro</vt:lpstr>
      <vt:lpstr>Contrato</vt:lpstr>
      <vt:lpstr>Trabajador</vt:lpstr>
      <vt:lpstr>Tarea</vt:lpstr>
      <vt:lpstr>Trabajador_Tarea</vt:lpstr>
      <vt:lpstr>Disponibilidad</vt:lpstr>
      <vt:lpstr>Periodo Fijo Discontinuo</vt:lpstr>
      <vt:lpstr>Turno Vacaciones</vt:lpstr>
      <vt:lpstr>Pedido Histórico COMPARACION</vt:lpstr>
      <vt:lpstr>Pedido Histórico COMPLETO</vt:lpstr>
      <vt:lpstr>PRUEBA</vt:lpstr>
      <vt:lpstr>Pedido Histórico</vt:lpstr>
      <vt:lpstr>Promoción</vt:lpstr>
      <vt:lpstr>Calendario</vt:lpstr>
      <vt:lpstr>Predicción</vt:lpstr>
      <vt:lpstr>Planificación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Claudia Nadal Almela</dc:creator>
  <cp:keywords/>
  <dc:description/>
  <cp:lastModifiedBy>Marina Ortells</cp:lastModifiedBy>
  <cp:revision/>
  <dcterms:created xsi:type="dcterms:W3CDTF">2026-07-09T13:33:28Z</dcterms:created>
  <dcterms:modified xsi:type="dcterms:W3CDTF">2026-08-28T14:21:18Z</dcterms:modified>
  <cp:category/>
  <cp:contentStatus/>
</cp:coreProperties>
</file>